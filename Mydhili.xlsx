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HYATHI SRI  CHEPURI\OneDrive\Desktop\"/>
    </mc:Choice>
  </mc:AlternateContent>
  <bookViews>
    <workbookView xWindow="0" yWindow="0" windowWidth="17256" windowHeight="7596"/>
  </bookViews>
  <sheets>
    <sheet name="Sheet3" sheetId="3" r:id="rId1"/>
    <sheet name="Transcation" sheetId="1" r:id="rId2"/>
    <sheet name="Sheet5" sheetId="5" r:id="rId3"/>
    <sheet name="Budget" sheetId="2" r:id="rId4"/>
  </sheets>
  <definedNames>
    <definedName name="Slicer_Actual_spent">#N/A</definedName>
    <definedName name="Slicer_Category">#N/A</definedName>
    <definedName name="Slicer_Monthly_budget">#N/A</definedName>
    <definedName name="Slicer_Remaining">#N/A</definedName>
  </definedNames>
  <calcPr calcId="162913"/>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2" l="1"/>
  <c r="D4" i="2"/>
  <c r="D5" i="2"/>
  <c r="D6" i="2"/>
  <c r="D7" i="2"/>
  <c r="D8" i="2"/>
  <c r="D9" i="2"/>
  <c r="D10" i="2"/>
  <c r="D11" i="2"/>
  <c r="D12" i="2"/>
  <c r="D13" i="2"/>
  <c r="D2" i="2"/>
  <c r="E3" i="2"/>
  <c r="E4" i="2"/>
  <c r="E5" i="2"/>
  <c r="E6" i="2"/>
  <c r="E7" i="2"/>
  <c r="E8" i="2"/>
  <c r="E9" i="2"/>
  <c r="E10" i="2"/>
  <c r="E11" i="2"/>
  <c r="E12" i="2"/>
  <c r="E13" i="2"/>
  <c r="E2" i="2"/>
  <c r="F3" i="1"/>
  <c r="F4" i="1"/>
  <c r="F5" i="1"/>
  <c r="F6" i="1"/>
  <c r="F7" i="1"/>
  <c r="F8" i="1"/>
  <c r="F9" i="1"/>
  <c r="F10" i="1"/>
  <c r="F11" i="1"/>
  <c r="F12" i="1"/>
  <c r="F13" i="1"/>
  <c r="F2" i="1"/>
</calcChain>
</file>

<file path=xl/sharedStrings.xml><?xml version="1.0" encoding="utf-8"?>
<sst xmlns="http://schemas.openxmlformats.org/spreadsheetml/2006/main" count="132" uniqueCount="40">
  <si>
    <t xml:space="preserve">Date </t>
  </si>
  <si>
    <t>Category</t>
  </si>
  <si>
    <t>Type</t>
  </si>
  <si>
    <t>Description</t>
  </si>
  <si>
    <t>Actual Amount</t>
  </si>
  <si>
    <t>Month</t>
  </si>
  <si>
    <t>Rent</t>
  </si>
  <si>
    <t>Food</t>
  </si>
  <si>
    <t>Transport</t>
  </si>
  <si>
    <t>Entertainn</t>
  </si>
  <si>
    <t>Savings</t>
  </si>
  <si>
    <t>Shopping</t>
  </si>
  <si>
    <t>Utilities</t>
  </si>
  <si>
    <t>Freelance</t>
  </si>
  <si>
    <t>Salary</t>
  </si>
  <si>
    <t>Expense</t>
  </si>
  <si>
    <t>Income</t>
  </si>
  <si>
    <t>House Rent</t>
  </si>
  <si>
    <t>Groceries</t>
  </si>
  <si>
    <t>Taxi</t>
  </si>
  <si>
    <t>Movie Night</t>
  </si>
  <si>
    <t>Monthly deposit</t>
  </si>
  <si>
    <t>RD/SIP investrr</t>
  </si>
  <si>
    <t>Clothing</t>
  </si>
  <si>
    <t>Online course</t>
  </si>
  <si>
    <t>Electricity bill</t>
  </si>
  <si>
    <t>Medical checkup</t>
  </si>
  <si>
    <t>Freelance project</t>
  </si>
  <si>
    <t>Salary credit</t>
  </si>
  <si>
    <t xml:space="preserve">Education </t>
  </si>
  <si>
    <t>Healthcare</t>
  </si>
  <si>
    <t>Monthly budget</t>
  </si>
  <si>
    <t>Actual spent</t>
  </si>
  <si>
    <t>Remaining</t>
  </si>
  <si>
    <t>Row Labels</t>
  </si>
  <si>
    <t>Grand Total</t>
  </si>
  <si>
    <t>Sum of Monthly budget</t>
  </si>
  <si>
    <t>Sum of Actual spent</t>
  </si>
  <si>
    <t>January</t>
  </si>
  <si>
    <t>Sum of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</si>
</sst>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Sheet5!$A$4:$A$26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Sheet5!$B$4:$B$26</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00-B0AD-4C84-A95A-A281E9B082B0}"/>
            </c:ext>
          </c:extLst>
        </c:ser>
        <c:ser>
          <c:idx val="1"/>
          <c:order val="1"/>
          <c:tx>
            <c:strRef>
              <c:f>Sheet5!$C$3</c:f>
              <c:strCache>
                <c:ptCount val="1"/>
                <c:pt idx="0">
                  <c:v>Sum of Actual spent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Sheet5!$A$4:$A$26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Sheet5!$C$4:$C$26</c:f>
              <c:numCache>
                <c:formatCode>General</c:formatCode>
                <c:ptCount val="11"/>
                <c:pt idx="0">
                  <c:v>7000</c:v>
                </c:pt>
                <c:pt idx="1">
                  <c:v>500</c:v>
                </c:pt>
                <c:pt idx="2">
                  <c:v>1500</c:v>
                </c:pt>
                <c:pt idx="3">
                  <c:v>450</c:v>
                </c:pt>
                <c:pt idx="4">
                  <c:v>1000</c:v>
                </c:pt>
                <c:pt idx="5">
                  <c:v>3500</c:v>
                </c:pt>
                <c:pt idx="6">
                  <c:v>17000</c:v>
                </c:pt>
                <c:pt idx="7">
                  <c:v>400</c:v>
                </c:pt>
                <c:pt idx="8">
                  <c:v>1500</c:v>
                </c:pt>
                <c:pt idx="9">
                  <c:v>500</c:v>
                </c:pt>
                <c:pt idx="10">
                  <c:v>400</c:v>
                </c:pt>
              </c:numCache>
            </c:numRef>
          </c:val>
          <c:extLst>
            <c:ext xmlns:c16="http://schemas.microsoft.com/office/drawing/2014/chart" uri="{C3380CC4-5D6E-409C-BE32-E72D297353CC}">
              <c16:uniqueId val="{00000001-B0AD-4C84-A95A-A281E9B082B0}"/>
            </c:ext>
          </c:extLst>
        </c:ser>
        <c:dLbls>
          <c:dLblPos val="outEnd"/>
          <c:showLegendKey val="0"/>
          <c:showVal val="1"/>
          <c:showCatName val="0"/>
          <c:showSerName val="0"/>
          <c:showPercent val="0"/>
          <c:showBubbleSize val="0"/>
        </c:dLbls>
        <c:gapWidth val="219"/>
        <c:overlap val="-27"/>
        <c:axId val="1330821952"/>
        <c:axId val="1330825280"/>
      </c:barChart>
      <c:catAx>
        <c:axId val="1330821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825280"/>
        <c:crosses val="autoZero"/>
        <c:auto val="1"/>
        <c:lblAlgn val="ctr"/>
        <c:lblOffset val="100"/>
        <c:noMultiLvlLbl val="0"/>
      </c:catAx>
      <c:valAx>
        <c:axId val="13308252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821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[KEERTHI.xlsx]Sheet5!PivotTable4</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Sheet5!$F$4</c:f>
              <c:strCache>
                <c:ptCount val="1"/>
                <c:pt idx="0">
                  <c:v>Sum of Monthly budget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9A62-4A74-8627-A2163FCB4CD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9A62-4A74-8627-A2163FCB4CD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9A62-4A74-8627-A2163FCB4CD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9A62-4A74-8627-A2163FCB4CD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9A62-4A74-8627-A2163FCB4CD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9A62-4A74-8627-A2163FCB4CD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9A62-4A74-8627-A2163FCB4CD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9A62-4A74-8627-A2163FCB4CD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9A62-4A74-8627-A2163FCB4CD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9A62-4A74-8627-A2163FCB4CD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9A62-4A74-8627-A2163FCB4C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Sheet5!$E$5:$E$16</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Sheet5!$F$5:$F$16</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16-9A62-4A74-8627-A2163FCB4CD6}"/>
            </c:ext>
          </c:extLst>
        </c:ser>
        <c:ser>
          <c:idx val="1"/>
          <c:order val="1"/>
          <c:tx>
            <c:strRef>
              <c:f>Sheet5!$G$4</c:f>
              <c:strCache>
                <c:ptCount val="1"/>
                <c:pt idx="0">
                  <c:v>Sum of Remaining</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8-9A62-4A74-8627-A2163FCB4CD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A-9A62-4A74-8627-A2163FCB4CD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C-9A62-4A74-8627-A2163FCB4CD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E-9A62-4A74-8627-A2163FCB4CD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20-9A62-4A74-8627-A2163FCB4CD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22-9A62-4A74-8627-A2163FCB4CD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24-9A62-4A74-8627-A2163FCB4CD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26-9A62-4A74-8627-A2163FCB4CD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28-9A62-4A74-8627-A2163FCB4CD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2A-9A62-4A74-8627-A2163FCB4CD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2C-9A62-4A74-8627-A2163FCB4C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Sheet5!$E$5:$E$16</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Sheet5!$G$5:$G$16</c:f>
              <c:numCache>
                <c:formatCode>General</c:formatCode>
                <c:ptCount val="11"/>
                <c:pt idx="0">
                  <c:v>3000</c:v>
                </c:pt>
                <c:pt idx="1">
                  <c:v>500</c:v>
                </c:pt>
                <c:pt idx="2">
                  <c:v>1500</c:v>
                </c:pt>
                <c:pt idx="3">
                  <c:v>350</c:v>
                </c:pt>
                <c:pt idx="4">
                  <c:v>500</c:v>
                </c:pt>
                <c:pt idx="5">
                  <c:v>1500</c:v>
                </c:pt>
                <c:pt idx="6">
                  <c:v>3000</c:v>
                </c:pt>
                <c:pt idx="7">
                  <c:v>100</c:v>
                </c:pt>
                <c:pt idx="8">
                  <c:v>500</c:v>
                </c:pt>
                <c:pt idx="9">
                  <c:v>500</c:v>
                </c:pt>
                <c:pt idx="10">
                  <c:v>400</c:v>
                </c:pt>
              </c:numCache>
            </c:numRef>
          </c:val>
          <c:extLst>
            <c:ext xmlns:c16="http://schemas.microsoft.com/office/drawing/2014/chart" uri="{C3380CC4-5D6E-409C-BE32-E72D297353CC}">
              <c16:uniqueId val="{0000002D-9A62-4A74-8627-A2163FCB4CD6}"/>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[KEERTHI.xlsx]Sheet5!PivotTable5</c:name>
    <c:fmtId val="2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Sheet5!$J$5</c:f>
              <c:strCache>
                <c:ptCount val="1"/>
                <c:pt idx="0">
                  <c:v>Sum of Monthly budget</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Sheet5!$I$6:$I$17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Sheet5!$J$6:$J$17</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00-99A8-4511-8A8E-B41626D48032}"/>
            </c:ext>
          </c:extLst>
        </c:ser>
        <c:ser>
          <c:idx val="1"/>
          <c:order val="1"/>
          <c:tx>
            <c:strRef>
              <c:f>Sheet5!$K$5</c:f>
              <c:strCache>
                <c:ptCount val="1"/>
                <c:pt idx="0">
                  <c:v>Sum of Actual spent</c:v>
                </c:pt>
              </c:strCache>
            </c:strRef>
          </c:tx>
          <c:spPr>
            <a:solidFill>
              <a:schemeClr val="accent2"/>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Sheet5!$I$6:$I$17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Sheet5!$K$6:$K$17</c:f>
              <c:numCache>
                <c:formatCode>General</c:formatCode>
                <c:ptCount val="11"/>
                <c:pt idx="0">
                  <c:v>7000</c:v>
                </c:pt>
                <c:pt idx="1">
                  <c:v>500</c:v>
                </c:pt>
                <c:pt idx="2">
                  <c:v>1500</c:v>
                </c:pt>
                <c:pt idx="3">
                  <c:v>450</c:v>
                </c:pt>
                <c:pt idx="4">
                  <c:v>1000</c:v>
                </c:pt>
                <c:pt idx="5">
                  <c:v>3500</c:v>
                </c:pt>
                <c:pt idx="6">
                  <c:v>17000</c:v>
                </c:pt>
                <c:pt idx="7">
                  <c:v>400</c:v>
                </c:pt>
                <c:pt idx="8">
                  <c:v>1500</c:v>
                </c:pt>
                <c:pt idx="9">
                  <c:v>500</c:v>
                </c:pt>
                <c:pt idx="10">
                  <c:v>400</c:v>
                </c:pt>
              </c:numCache>
            </c:numRef>
          </c:val>
          <c:extLst>
            <c:ext xmlns:c16="http://schemas.microsoft.com/office/drawing/2014/chart" uri="{C3380CC4-5D6E-409C-BE32-E72D297353CC}">
              <c16:uniqueId val="{00000001-99A8-4511-8A8E-B41626D48032}"/>
            </c:ext>
          </c:extLst>
        </c:ser>
        <c:dLbls>
          <c:showLegendKey val="0"/>
          <c:showVal val="1"/>
          <c:showCatName val="0"/>
          <c:showSerName val="0"/>
          <c:showPercent val="0"/>
          <c:showBubbleSize val="0"/>
        </c:dLbls>
        <c:axId val="1506598608"/>
        <c:axId val="1506589040"/>
        <c:axId val="0"/>
      </c:area3DChart>
      <c:catAx>
        <c:axId val="150659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89040"/>
        <c:crosses val="autoZero"/>
        <c:auto val="1"/>
        <c:lblAlgn val="ctr"/>
        <c:lblOffset val="100"/>
        <c:noMultiLvlLbl val="0"/>
      </c:catAx>
      <c:valAx>
        <c:axId val="150658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9860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[KEERTHI.xlsx]Sheet5!PivotTable6</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Sheet5!$N$5</c:f>
              <c:strCache>
                <c:ptCount val="1"/>
                <c:pt idx="0">
                  <c:v>Sum of Monthly budget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2A-4A7C-B588-58B7D18BA1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2A-4A7C-B588-58B7D18BA1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2A-4A7C-B588-58B7D18BA1D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A2A-4A7C-B588-58B7D18BA1D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A2A-4A7C-B588-58B7D18BA1D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A2A-4A7C-B588-58B7D18BA1D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A2A-4A7C-B588-58B7D18BA1D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A2A-4A7C-B588-58B7D18BA1D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A2A-4A7C-B588-58B7D18BA1D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A2A-4A7C-B588-58B7D18BA1D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A2A-4A7C-B588-58B7D18BA1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Sheet5!$M$6:$M$17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Sheet5!$N$6:$N$17</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16-2A2A-4A7C-B588-58B7D18BA1D7}"/>
            </c:ext>
          </c:extLst>
        </c:ser>
        <c:ser>
          <c:idx val="1"/>
          <c:order val="1"/>
          <c:tx>
            <c:strRef>
              <c:f>Sheet5!$O$5</c:f>
              <c:strCache>
                <c:ptCount val="1"/>
                <c:pt idx="0">
                  <c:v>Sum of Actual spent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8-2A2A-4A7C-B588-58B7D18BA1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A-2A2A-4A7C-B588-58B7D18BA1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C-2A2A-4A7C-B588-58B7D18BA1D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E-2A2A-4A7C-B588-58B7D18BA1D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0-2A2A-4A7C-B588-58B7D18BA1D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2-2A2A-4A7C-B588-58B7D18BA1D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4-2A2A-4A7C-B588-58B7D18BA1D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2A2A-4A7C-B588-58B7D18BA1D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2A2A-4A7C-B588-58B7D18BA1D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2A2A-4A7C-B588-58B7D18BA1D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2A2A-4A7C-B588-58B7D18BA1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Sheet5!$M$6:$M$17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Sheet5!$O$6:$O$17</c:f>
              <c:numCache>
                <c:formatCode>General</c:formatCode>
                <c:ptCount val="11"/>
                <c:pt idx="0">
                  <c:v>7000</c:v>
                </c:pt>
                <c:pt idx="1">
                  <c:v>500</c:v>
                </c:pt>
                <c:pt idx="2">
                  <c:v>1500</c:v>
                </c:pt>
                <c:pt idx="3">
                  <c:v>450</c:v>
                </c:pt>
                <c:pt idx="4">
                  <c:v>1000</c:v>
                </c:pt>
                <c:pt idx="5">
                  <c:v>3500</c:v>
                </c:pt>
                <c:pt idx="6">
                  <c:v>17000</c:v>
                </c:pt>
                <c:pt idx="7">
                  <c:v>400</c:v>
                </c:pt>
                <c:pt idx="8">
                  <c:v>1500</c:v>
                </c:pt>
                <c:pt idx="9">
                  <c:v>500</c:v>
                </c:pt>
                <c:pt idx="10">
                  <c:v>400</c:v>
                </c:pt>
              </c:numCache>
            </c:numRef>
          </c:val>
          <c:extLst>
            <c:ext xmlns:c16="http://schemas.microsoft.com/office/drawing/2014/chart" uri="{C3380CC4-5D6E-409C-BE32-E72D297353CC}">
              <c16:uniqueId val="{0000002D-2A2A-4A7C-B588-58B7D18BA1D7}"/>
            </c:ext>
          </c:extLst>
        </c:ser>
        <c:ser>
          <c:idx val="2"/>
          <c:order val="2"/>
          <c:tx>
            <c:strRef>
              <c:f>Sheet5!$P$5</c:f>
              <c:strCache>
                <c:ptCount val="1"/>
                <c:pt idx="0">
                  <c:v>Sum of Remaining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F-2A2A-4A7C-B588-58B7D18BA1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1-2A2A-4A7C-B588-58B7D18BA1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3-2A2A-4A7C-B588-58B7D18BA1D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5-2A2A-4A7C-B588-58B7D18BA1D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7-2A2A-4A7C-B588-58B7D18BA1D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9-2A2A-4A7C-B588-58B7D18BA1D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2A2A-4A7C-B588-58B7D18BA1D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2A2A-4A7C-B588-58B7D18BA1D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2A2A-4A7C-B588-58B7D18BA1D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2A2A-4A7C-B588-58B7D18BA1D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2A2A-4A7C-B588-58B7D18BA1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Sheet5!$M$6:$M$17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Sheet5!$P$6:$P$17</c:f>
              <c:numCache>
                <c:formatCode>General</c:formatCode>
                <c:ptCount val="11"/>
                <c:pt idx="0">
                  <c:v>3000</c:v>
                </c:pt>
                <c:pt idx="1">
                  <c:v>500</c:v>
                </c:pt>
                <c:pt idx="2">
                  <c:v>1500</c:v>
                </c:pt>
                <c:pt idx="3">
                  <c:v>350</c:v>
                </c:pt>
                <c:pt idx="4">
                  <c:v>500</c:v>
                </c:pt>
                <c:pt idx="5">
                  <c:v>1500</c:v>
                </c:pt>
                <c:pt idx="6">
                  <c:v>3000</c:v>
                </c:pt>
                <c:pt idx="7">
                  <c:v>100</c:v>
                </c:pt>
                <c:pt idx="8">
                  <c:v>500</c:v>
                </c:pt>
                <c:pt idx="9">
                  <c:v>500</c:v>
                </c:pt>
                <c:pt idx="10">
                  <c:v>400</c:v>
                </c:pt>
              </c:numCache>
            </c:numRef>
          </c:val>
          <c:extLst>
            <c:ext xmlns:c16="http://schemas.microsoft.com/office/drawing/2014/chart" uri="{C3380CC4-5D6E-409C-BE32-E72D297353CC}">
              <c16:uniqueId val="{00000044-2A2A-4A7C-B588-58B7D18BA1D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[KEERTHI.xlsx]Sheet5!PivotTable2</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Sheet5!$A$4:$A$26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Sheet5!$B$4:$B$26</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00-C5EE-4FD0-A62B-3ECA88B4FED0}"/>
            </c:ext>
          </c:extLst>
        </c:ser>
        <c:ser>
          <c:idx val="1"/>
          <c:order val="1"/>
          <c:tx>
            <c:strRef>
              <c:f>Sheet5!$C$3</c:f>
              <c:strCache>
                <c:ptCount val="1"/>
                <c:pt idx="0">
                  <c:v>Sum of Actual spent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Sheet5!$A$4:$A$26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Sheet5!$C$4:$C$26</c:f>
              <c:numCache>
                <c:formatCode>General</c:formatCode>
                <c:ptCount val="11"/>
                <c:pt idx="0">
                  <c:v>7000</c:v>
                </c:pt>
                <c:pt idx="1">
                  <c:v>500</c:v>
                </c:pt>
                <c:pt idx="2">
                  <c:v>1500</c:v>
                </c:pt>
                <c:pt idx="3">
                  <c:v>450</c:v>
                </c:pt>
                <c:pt idx="4">
                  <c:v>1000</c:v>
                </c:pt>
                <c:pt idx="5">
                  <c:v>3500</c:v>
                </c:pt>
                <c:pt idx="6">
                  <c:v>17000</c:v>
                </c:pt>
                <c:pt idx="7">
                  <c:v>400</c:v>
                </c:pt>
                <c:pt idx="8">
                  <c:v>1500</c:v>
                </c:pt>
                <c:pt idx="9">
                  <c:v>500</c:v>
                </c:pt>
                <c:pt idx="10">
                  <c:v>400</c:v>
                </c:pt>
              </c:numCache>
            </c:numRef>
          </c:val>
          <c:extLst>
            <c:ext xmlns:c16="http://schemas.microsoft.com/office/drawing/2014/chart" uri="{C3380CC4-5D6E-409C-BE32-E72D297353CC}">
              <c16:uniqueId val="{00000001-C5EE-4FD0-A62B-3ECA88B4FED0}"/>
            </c:ext>
          </c:extLst>
        </c:ser>
        <c:dLbls>
          <c:dLblPos val="outEnd"/>
          <c:showLegendKey val="0"/>
          <c:showVal val="1"/>
          <c:showCatName val="0"/>
          <c:showSerName val="0"/>
          <c:showPercent val="0"/>
          <c:showBubbleSize val="0"/>
        </c:dLbls>
        <c:gapWidth val="219"/>
        <c:overlap val="-27"/>
        <c:axId val="1330821952"/>
        <c:axId val="1330825280"/>
      </c:barChart>
      <c:catAx>
        <c:axId val="13308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825280"/>
        <c:crosses val="autoZero"/>
        <c:auto val="1"/>
        <c:lblAlgn val="ctr"/>
        <c:lblOffset val="100"/>
        <c:noMultiLvlLbl val="0"/>
      </c:catAx>
      <c:valAx>
        <c:axId val="13308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821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[KEERTHI.xlsx]Sheet5!PivotTable4</c:name>
    <c:fmtId val="3"/>
  </c:pivotSource>
  <c:chart>
    <c:autoTitleDeleted val="0"/>
    <c:pivotFmts>
      <c:pivotFmt>
        <c:idx val="0"/>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1"/>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Sheet5!$F$4</c:f>
              <c:strCache>
                <c:ptCount val="1"/>
                <c:pt idx="0">
                  <c:v>Sum of Monthly budget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Sheet5!$E$5:$E$16</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Sheet5!$F$5:$F$16</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00-6333-48B2-AC6B-036A9152D1BB}"/>
            </c:ext>
          </c:extLst>
        </c:ser>
        <c:ser>
          <c:idx val="1"/>
          <c:order val="1"/>
          <c:tx>
            <c:strRef>
              <c:f>Sheet5!$G$4</c:f>
              <c:strCache>
                <c:ptCount val="1"/>
                <c:pt idx="0">
                  <c:v>Sum of Remaining</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Sheet5!$E$5:$E$16</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Sheet5!$G$5:$G$16</c:f>
              <c:numCache>
                <c:formatCode>General</c:formatCode>
                <c:ptCount val="11"/>
                <c:pt idx="0">
                  <c:v>3000</c:v>
                </c:pt>
                <c:pt idx="1">
                  <c:v>500</c:v>
                </c:pt>
                <c:pt idx="2">
                  <c:v>1500</c:v>
                </c:pt>
                <c:pt idx="3">
                  <c:v>350</c:v>
                </c:pt>
                <c:pt idx="4">
                  <c:v>500</c:v>
                </c:pt>
                <c:pt idx="5">
                  <c:v>1500</c:v>
                </c:pt>
                <c:pt idx="6">
                  <c:v>3000</c:v>
                </c:pt>
                <c:pt idx="7">
                  <c:v>100</c:v>
                </c:pt>
                <c:pt idx="8">
                  <c:v>500</c:v>
                </c:pt>
                <c:pt idx="9">
                  <c:v>500</c:v>
                </c:pt>
                <c:pt idx="10">
                  <c:v>400</c:v>
                </c:pt>
              </c:numCache>
            </c:numRef>
          </c:val>
          <c:extLst>
            <c:ext xmlns:c16="http://schemas.microsoft.com/office/drawing/2014/chart" uri="{C3380CC4-5D6E-409C-BE32-E72D297353CC}">
              <c16:uniqueId val="{00000001-6333-48B2-AC6B-036A9152D1BB}"/>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[KEERTHI.xlsx]Sheet5!PivotTable5</c:name>
    <c:fmtId val="20"/>
  </c:pivotSource>
  <c:chart>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Sheet5!$J$5</c:f>
              <c:strCache>
                <c:ptCount val="1"/>
                <c:pt idx="0">
                  <c:v>Sum of Monthly budget</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Sheet5!$I$6:$I$17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Sheet5!$J$6:$J$17</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00-CD08-4F10-BB8F-0C96A0D63DA9}"/>
            </c:ext>
          </c:extLst>
        </c:ser>
        <c:ser>
          <c:idx val="1"/>
          <c:order val="1"/>
          <c:tx>
            <c:strRef>
              <c:f>Sheet5!$K$5</c:f>
              <c:strCache>
                <c:ptCount val="1"/>
                <c:pt idx="0">
                  <c:v>Sum of Actual spent</c:v>
                </c:pt>
              </c:strCache>
            </c:strRef>
          </c:tx>
          <c:spPr>
            <a:solidFill>
              <a:schemeClr val="accent2"/>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Sheet5!$I$6:$I$17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Sheet5!$K$6:$K$17</c:f>
              <c:numCache>
                <c:formatCode>General</c:formatCode>
                <c:ptCount val="11"/>
                <c:pt idx="0">
                  <c:v>7000</c:v>
                </c:pt>
                <c:pt idx="1">
                  <c:v>500</c:v>
                </c:pt>
                <c:pt idx="2">
                  <c:v>1500</c:v>
                </c:pt>
                <c:pt idx="3">
                  <c:v>450</c:v>
                </c:pt>
                <c:pt idx="4">
                  <c:v>1000</c:v>
                </c:pt>
                <c:pt idx="5">
                  <c:v>3500</c:v>
                </c:pt>
                <c:pt idx="6">
                  <c:v>17000</c:v>
                </c:pt>
                <c:pt idx="7">
                  <c:v>400</c:v>
                </c:pt>
                <c:pt idx="8">
                  <c:v>1500</c:v>
                </c:pt>
                <c:pt idx="9">
                  <c:v>500</c:v>
                </c:pt>
                <c:pt idx="10">
                  <c:v>400</c:v>
                </c:pt>
              </c:numCache>
            </c:numRef>
          </c:val>
          <c:extLst>
            <c:ext xmlns:c16="http://schemas.microsoft.com/office/drawing/2014/chart" uri="{C3380CC4-5D6E-409C-BE32-E72D297353CC}">
              <c16:uniqueId val="{00000001-CD08-4F10-BB8F-0C96A0D63DA9}"/>
            </c:ext>
          </c:extLst>
        </c:ser>
        <c:dLbls>
          <c:showLegendKey val="0"/>
          <c:showVal val="1"/>
          <c:showCatName val="0"/>
          <c:showSerName val="0"/>
          <c:showPercent val="0"/>
          <c:showBubbleSize val="0"/>
        </c:dLbls>
        <c:axId val="1506598608"/>
        <c:axId val="1506589040"/>
        <c:axId val="0"/>
      </c:area3DChart>
      <c:catAx>
        <c:axId val="150659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89040"/>
        <c:crosses val="autoZero"/>
        <c:auto val="1"/>
        <c:lblAlgn val="ctr"/>
        <c:lblOffset val="100"/>
        <c:noMultiLvlLbl val="0"/>
      </c:catAx>
      <c:valAx>
        <c:axId val="150658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9860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[KEERTHI.xlsx]Sheet5!PivotTable6</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Sheet5!$N$5</c:f>
              <c:strCache>
                <c:ptCount val="1"/>
                <c:pt idx="0">
                  <c:v>Sum of Monthly budget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Sheet5!$M$6:$M$17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Sheet5!$N$6:$N$17</c:f>
              <c:numCache>
                <c:formatCode>General</c:formatCode>
                <c:ptCount val="11"/>
                <c:pt idx="0">
                  <c:v>10000</c:v>
                </c:pt>
                <c:pt idx="1">
                  <c:v>1000</c:v>
                </c:pt>
                <c:pt idx="2">
                  <c:v>3000</c:v>
                </c:pt>
                <c:pt idx="3">
                  <c:v>800</c:v>
                </c:pt>
                <c:pt idx="4">
                  <c:v>1500</c:v>
                </c:pt>
                <c:pt idx="5">
                  <c:v>5000</c:v>
                </c:pt>
                <c:pt idx="6">
                  <c:v>20000</c:v>
                </c:pt>
                <c:pt idx="7">
                  <c:v>500</c:v>
                </c:pt>
                <c:pt idx="8">
                  <c:v>2000</c:v>
                </c:pt>
                <c:pt idx="9">
                  <c:v>1000</c:v>
                </c:pt>
                <c:pt idx="10">
                  <c:v>800</c:v>
                </c:pt>
              </c:numCache>
            </c:numRef>
          </c:val>
          <c:extLst>
            <c:ext xmlns:c16="http://schemas.microsoft.com/office/drawing/2014/chart" uri="{C3380CC4-5D6E-409C-BE32-E72D297353CC}">
              <c16:uniqueId val="{00000000-11D3-42A6-A0EF-60F960BF861D}"/>
            </c:ext>
          </c:extLst>
        </c:ser>
        <c:ser>
          <c:idx val="1"/>
          <c:order val="1"/>
          <c:tx>
            <c:strRef>
              <c:f>Sheet5!$O$5</c:f>
              <c:strCache>
                <c:ptCount val="1"/>
                <c:pt idx="0">
                  <c:v>Sum of Actual spent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Sheet5!$M$6:$M$17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Sheet5!$O$6:$O$17</c:f>
              <c:numCache>
                <c:formatCode>General</c:formatCode>
                <c:ptCount val="11"/>
                <c:pt idx="0">
                  <c:v>7000</c:v>
                </c:pt>
                <c:pt idx="1">
                  <c:v>500</c:v>
                </c:pt>
                <c:pt idx="2">
                  <c:v>1500</c:v>
                </c:pt>
                <c:pt idx="3">
                  <c:v>450</c:v>
                </c:pt>
                <c:pt idx="4">
                  <c:v>1000</c:v>
                </c:pt>
                <c:pt idx="5">
                  <c:v>3500</c:v>
                </c:pt>
                <c:pt idx="6">
                  <c:v>17000</c:v>
                </c:pt>
                <c:pt idx="7">
                  <c:v>400</c:v>
                </c:pt>
                <c:pt idx="8">
                  <c:v>1500</c:v>
                </c:pt>
                <c:pt idx="9">
                  <c:v>500</c:v>
                </c:pt>
                <c:pt idx="10">
                  <c:v>400</c:v>
                </c:pt>
              </c:numCache>
            </c:numRef>
          </c:val>
          <c:extLst>
            <c:ext xmlns:c16="http://schemas.microsoft.com/office/drawing/2014/chart" uri="{C3380CC4-5D6E-409C-BE32-E72D297353CC}">
              <c16:uniqueId val="{00000001-11D3-42A6-A0EF-60F960BF861D}"/>
            </c:ext>
          </c:extLst>
        </c:ser>
        <c:ser>
          <c:idx val="2"/>
          <c:order val="2"/>
          <c:tx>
            <c:strRef>
              <c:f>Sheet5!$P$5</c:f>
              <c:strCache>
                <c:ptCount val="1"/>
                <c:pt idx="0">
                  <c:v>Sum of Remaining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Sheet5!$M$6:$M$17</c:f>
              <c:strCache>
                <c:ptCount val="11"/>
                <c:pt idx="0">
                  <c:v>Education </c:v>
                </c:pt>
                <c:pt idx="1">
                  <c:v>Entertainn</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Sheet5!$P$6:$P$17</c:f>
              <c:numCache>
                <c:formatCode>General</c:formatCode>
                <c:ptCount val="11"/>
                <c:pt idx="0">
                  <c:v>3000</c:v>
                </c:pt>
                <c:pt idx="1">
                  <c:v>500</c:v>
                </c:pt>
                <c:pt idx="2">
                  <c:v>1500</c:v>
                </c:pt>
                <c:pt idx="3">
                  <c:v>350</c:v>
                </c:pt>
                <c:pt idx="4">
                  <c:v>500</c:v>
                </c:pt>
                <c:pt idx="5">
                  <c:v>1500</c:v>
                </c:pt>
                <c:pt idx="6">
                  <c:v>3000</c:v>
                </c:pt>
                <c:pt idx="7">
                  <c:v>100</c:v>
                </c:pt>
                <c:pt idx="8">
                  <c:v>500</c:v>
                </c:pt>
                <c:pt idx="9">
                  <c:v>500</c:v>
                </c:pt>
                <c:pt idx="10">
                  <c:v>400</c:v>
                </c:pt>
              </c:numCache>
            </c:numRef>
          </c:val>
          <c:extLst>
            <c:ext xmlns:c16="http://schemas.microsoft.com/office/drawing/2014/chart" uri="{C3380CC4-5D6E-409C-BE32-E72D297353CC}">
              <c16:uniqueId val="{00000002-11D3-42A6-A0EF-60F960BF861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571500</xdr:colOff>
      <xdr:row>6</xdr:row>
      <xdr:rowOff>7620</xdr:rowOff>
    </xdr:to>
    <xdr:sp macro="" textlink="">
      <xdr:nvSpPr>
        <xdr:cNvPr id="2" name="Rounded Rectangle 1"/>
        <xdr:cNvSpPr/>
      </xdr:nvSpPr>
      <xdr:spPr>
        <a:xfrm>
          <a:off x="0" y="0"/>
          <a:ext cx="16421100" cy="11049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487680</xdr:colOff>
      <xdr:row>0</xdr:row>
      <xdr:rowOff>167640</xdr:rowOff>
    </xdr:from>
    <xdr:ext cx="6614160" cy="311496"/>
    <xdr:sp macro="" textlink="">
      <xdr:nvSpPr>
        <xdr:cNvPr id="3" name="TextBox 2"/>
        <xdr:cNvSpPr txBox="1"/>
      </xdr:nvSpPr>
      <xdr:spPr>
        <a:xfrm>
          <a:off x="4145280" y="167640"/>
          <a:ext cx="661416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PERSONAL</a:t>
          </a:r>
          <a:r>
            <a:rPr lang="en-IN" sz="1400" b="1" baseline="0"/>
            <a:t> FINANCE BUDGET DASHBOARD </a:t>
          </a:r>
          <a:endParaRPr lang="en-IN" sz="1400" b="1"/>
        </a:p>
      </xdr:txBody>
    </xdr:sp>
    <xdr:clientData/>
  </xdr:oneCellAnchor>
  <xdr:twoCellAnchor>
    <xdr:from>
      <xdr:col>0</xdr:col>
      <xdr:colOff>0</xdr:colOff>
      <xdr:row>11</xdr:row>
      <xdr:rowOff>83820</xdr:rowOff>
    </xdr:from>
    <xdr:to>
      <xdr:col>9</xdr:col>
      <xdr:colOff>388620</xdr:colOff>
      <xdr:row>27</xdr:row>
      <xdr:rowOff>7620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167640</xdr:colOff>
      <xdr:row>11</xdr:row>
      <xdr:rowOff>53340</xdr:rowOff>
    </xdr:from>
    <xdr:to>
      <xdr:col>18</xdr:col>
      <xdr:colOff>22860</xdr:colOff>
      <xdr:row>27</xdr:row>
      <xdr:rowOff>7620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449580</xdr:colOff>
      <xdr:row>11</xdr:row>
      <xdr:rowOff>60960</xdr:rowOff>
    </xdr:from>
    <xdr:to>
      <xdr:col>25</xdr:col>
      <xdr:colOff>518160</xdr:colOff>
      <xdr:row>27</xdr:row>
      <xdr:rowOff>30480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28</xdr:row>
      <xdr:rowOff>152400</xdr:rowOff>
    </xdr:from>
    <xdr:to>
      <xdr:col>8</xdr:col>
      <xdr:colOff>15240</xdr:colOff>
      <xdr:row>44</xdr:row>
      <xdr:rowOff>91440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281940</xdr:colOff>
      <xdr:row>28</xdr:row>
      <xdr:rowOff>167640</xdr:rowOff>
    </xdr:from>
    <xdr:to>
      <xdr:col>11</xdr:col>
      <xdr:colOff>281940</xdr:colOff>
      <xdr:row>44</xdr:row>
      <xdr:rowOff>15240</xdr:rowOff>
    </xdr:to>
    <mc:AlternateContent xmlns:mc="http://schemas.openxmlformats.org/markup-compatibility/2006">
      <mc:Choice xmlns:a14="http://schemas.microsoft.com/office/drawing/2010/main" Requires="a14">
        <xdr:graphicFrame macro="">
          <xdr:nvGraphicFramePr>
            <xdr:cNvPr id="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158740" y="5146040"/>
              <a:ext cx="1828800" cy="269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403860</xdr:colOff>
      <xdr:row>29</xdr:row>
      <xdr:rowOff>15240</xdr:rowOff>
    </xdr:from>
    <xdr:to>
      <xdr:col>14</xdr:col>
      <xdr:colOff>403860</xdr:colOff>
      <xdr:row>43</xdr:row>
      <xdr:rowOff>137160</xdr:rowOff>
    </xdr:to>
    <mc:AlternateContent xmlns:mc="http://schemas.openxmlformats.org/markup-compatibility/2006">
      <mc:Choice xmlns:a14="http://schemas.microsoft.com/office/drawing/2010/main" Requires="a14">
        <xdr:graphicFrame macro="">
          <xdr:nvGraphicFramePr>
            <xdr:cNvPr id="9" name="Monthly budget 1"/>
            <xdr:cNvGraphicFramePr/>
          </xdr:nvGraphicFramePr>
          <xdr:xfrm>
            <a:off x="0" y="0"/>
            <a:ext cx="0" cy="0"/>
          </xdr:xfrm>
          <a:graphic>
            <a:graphicData uri="http://schemas.microsoft.com/office/drawing/2010/slicer">
              <sle:slicer xmlns:sle="http://schemas.microsoft.com/office/drawing/2010/slicer" name="Monthly budget 1"/>
            </a:graphicData>
          </a:graphic>
        </xdr:graphicFrame>
      </mc:Choice>
      <mc:Fallback>
        <xdr:sp macro="" textlink="">
          <xdr:nvSpPr>
            <xdr:cNvPr id="0" name=""/>
            <xdr:cNvSpPr>
              <a:spLocks noTextEdit="1"/>
            </xdr:cNvSpPr>
          </xdr:nvSpPr>
          <xdr:spPr>
            <a:xfrm>
              <a:off x="7109460" y="5171440"/>
              <a:ext cx="1828800" cy="261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594360</xdr:colOff>
      <xdr:row>28</xdr:row>
      <xdr:rowOff>152400</xdr:rowOff>
    </xdr:from>
    <xdr:to>
      <xdr:col>17</xdr:col>
      <xdr:colOff>594360</xdr:colOff>
      <xdr:row>43</xdr:row>
      <xdr:rowOff>114300</xdr:rowOff>
    </xdr:to>
    <mc:AlternateContent xmlns:mc="http://schemas.openxmlformats.org/markup-compatibility/2006">
      <mc:Choice xmlns:a14="http://schemas.microsoft.com/office/drawing/2010/main" Requires="a14">
        <xdr:graphicFrame macro="">
          <xdr:nvGraphicFramePr>
            <xdr:cNvPr id="10" name="Actual spent 1"/>
            <xdr:cNvGraphicFramePr/>
          </xdr:nvGraphicFramePr>
          <xdr:xfrm>
            <a:off x="0" y="0"/>
            <a:ext cx="0" cy="0"/>
          </xdr:xfrm>
          <a:graphic>
            <a:graphicData uri="http://schemas.microsoft.com/office/drawing/2010/slicer">
              <sle:slicer xmlns:sle="http://schemas.microsoft.com/office/drawing/2010/slicer" name="Actual spent 1"/>
            </a:graphicData>
          </a:graphic>
        </xdr:graphicFrame>
      </mc:Choice>
      <mc:Fallback>
        <xdr:sp macro="" textlink="">
          <xdr:nvSpPr>
            <xdr:cNvPr id="0" name=""/>
            <xdr:cNvSpPr>
              <a:spLocks noTextEdit="1"/>
            </xdr:cNvSpPr>
          </xdr:nvSpPr>
          <xdr:spPr>
            <a:xfrm>
              <a:off x="9128760" y="5130800"/>
              <a:ext cx="1828800"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175260</xdr:colOff>
      <xdr:row>29</xdr:row>
      <xdr:rowOff>175260</xdr:rowOff>
    </xdr:from>
    <xdr:to>
      <xdr:col>21</xdr:col>
      <xdr:colOff>175260</xdr:colOff>
      <xdr:row>42</xdr:row>
      <xdr:rowOff>114300</xdr:rowOff>
    </xdr:to>
    <mc:AlternateContent xmlns:mc="http://schemas.openxmlformats.org/markup-compatibility/2006">
      <mc:Choice xmlns:a14="http://schemas.microsoft.com/office/drawing/2010/main" Requires="a14">
        <xdr:graphicFrame macro="">
          <xdr:nvGraphicFramePr>
            <xdr:cNvPr id="11" name="Remaining 1"/>
            <xdr:cNvGraphicFramePr/>
          </xdr:nvGraphicFramePr>
          <xdr:xfrm>
            <a:off x="0" y="0"/>
            <a:ext cx="0" cy="0"/>
          </xdr:xfrm>
          <a:graphic>
            <a:graphicData uri="http://schemas.microsoft.com/office/drawing/2010/slicer">
              <sle:slicer xmlns:sle="http://schemas.microsoft.com/office/drawing/2010/slicer" name="Remaining 1"/>
            </a:graphicData>
          </a:graphic>
        </xdr:graphicFrame>
      </mc:Choice>
      <mc:Fallback>
        <xdr:sp macro="" textlink="">
          <xdr:nvSpPr>
            <xdr:cNvPr id="0" name=""/>
            <xdr:cNvSpPr>
              <a:spLocks noTextEdit="1"/>
            </xdr:cNvSpPr>
          </xdr:nvSpPr>
          <xdr:spPr>
            <a:xfrm>
              <a:off x="11148060" y="5331460"/>
              <a:ext cx="1828800" cy="2250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4</xdr:row>
      <xdr:rowOff>45720</xdr:rowOff>
    </xdr:from>
    <xdr:to>
      <xdr:col>5</xdr:col>
      <xdr:colOff>15240</xdr:colOff>
      <xdr:row>10</xdr:row>
      <xdr:rowOff>15240</xdr:rowOff>
    </xdr:to>
    <xdr:sp macro="" textlink="">
      <xdr:nvSpPr>
        <xdr:cNvPr id="12" name="Rounded Rectangle 11"/>
        <xdr:cNvSpPr/>
      </xdr:nvSpPr>
      <xdr:spPr>
        <a:xfrm>
          <a:off x="617220" y="777240"/>
          <a:ext cx="2446020" cy="1066800"/>
        </a:xfrm>
        <a:prstGeom prst="round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106680</xdr:colOff>
      <xdr:row>4</xdr:row>
      <xdr:rowOff>76200</xdr:rowOff>
    </xdr:from>
    <xdr:to>
      <xdr:col>14</xdr:col>
      <xdr:colOff>601980</xdr:colOff>
      <xdr:row>10</xdr:row>
      <xdr:rowOff>15240</xdr:rowOff>
    </xdr:to>
    <xdr:sp macro="" textlink="">
      <xdr:nvSpPr>
        <xdr:cNvPr id="13" name="Rounded Rectangle 12"/>
        <xdr:cNvSpPr/>
      </xdr:nvSpPr>
      <xdr:spPr>
        <a:xfrm>
          <a:off x="6202680" y="807720"/>
          <a:ext cx="2933700" cy="1036320"/>
        </a:xfrm>
        <a:prstGeom prst="round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594360</xdr:colOff>
      <xdr:row>4</xdr:row>
      <xdr:rowOff>83820</xdr:rowOff>
    </xdr:from>
    <xdr:to>
      <xdr:col>25</xdr:col>
      <xdr:colOff>487680</xdr:colOff>
      <xdr:row>9</xdr:row>
      <xdr:rowOff>175260</xdr:rowOff>
    </xdr:to>
    <xdr:sp macro="" textlink="">
      <xdr:nvSpPr>
        <xdr:cNvPr id="14" name="Rounded Rectangle 13"/>
        <xdr:cNvSpPr/>
      </xdr:nvSpPr>
      <xdr:spPr>
        <a:xfrm>
          <a:off x="12786360" y="815340"/>
          <a:ext cx="2941320" cy="1005840"/>
        </a:xfrm>
        <a:prstGeom prst="round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266700</xdr:colOff>
      <xdr:row>5</xdr:row>
      <xdr:rowOff>121920</xdr:rowOff>
    </xdr:from>
    <xdr:to>
      <xdr:col>4</xdr:col>
      <xdr:colOff>388620</xdr:colOff>
      <xdr:row>9</xdr:row>
      <xdr:rowOff>22860</xdr:rowOff>
    </xdr:to>
    <xdr:sp macro="" textlink="">
      <xdr:nvSpPr>
        <xdr:cNvPr id="15" name="TextBox 14"/>
        <xdr:cNvSpPr txBox="1"/>
      </xdr:nvSpPr>
      <xdr:spPr>
        <a:xfrm>
          <a:off x="876300" y="1036320"/>
          <a:ext cx="1950720" cy="63246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N" sz="1400" b="1" i="1">
              <a:solidFill>
                <a:schemeClr val="tx1"/>
              </a:solidFill>
            </a:rPr>
            <a:t>MONTHLY</a:t>
          </a:r>
          <a:r>
            <a:rPr lang="en-IN" sz="1400" b="1" i="1" baseline="0">
              <a:solidFill>
                <a:schemeClr val="tx1"/>
              </a:solidFill>
            </a:rPr>
            <a:t> BUDGET</a:t>
          </a:r>
        </a:p>
        <a:p>
          <a:pPr algn="ctr"/>
          <a:r>
            <a:rPr lang="en-IN" sz="1400" b="1" i="1" baseline="0">
              <a:solidFill>
                <a:schemeClr val="tx1"/>
              </a:solidFill>
            </a:rPr>
            <a:t>456%</a:t>
          </a:r>
          <a:endParaRPr lang="en-IN" sz="1400" b="1" i="1">
            <a:solidFill>
              <a:schemeClr val="tx1"/>
            </a:solidFill>
          </a:endParaRPr>
        </a:p>
      </xdr:txBody>
    </xdr:sp>
    <xdr:clientData/>
  </xdr:twoCellAnchor>
  <xdr:twoCellAnchor>
    <xdr:from>
      <xdr:col>10</xdr:col>
      <xdr:colOff>411480</xdr:colOff>
      <xdr:row>5</xdr:row>
      <xdr:rowOff>99060</xdr:rowOff>
    </xdr:from>
    <xdr:to>
      <xdr:col>14</xdr:col>
      <xdr:colOff>312420</xdr:colOff>
      <xdr:row>9</xdr:row>
      <xdr:rowOff>38100</xdr:rowOff>
    </xdr:to>
    <xdr:sp macro="" textlink="">
      <xdr:nvSpPr>
        <xdr:cNvPr id="16" name="TextBox 15"/>
        <xdr:cNvSpPr txBox="1"/>
      </xdr:nvSpPr>
      <xdr:spPr>
        <a:xfrm>
          <a:off x="6507480" y="1013460"/>
          <a:ext cx="2339340" cy="67056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N" sz="1400" b="1" i="1">
              <a:solidFill>
                <a:schemeClr val="tx1"/>
              </a:solidFill>
            </a:rPr>
            <a:t>ACTUAL SPENT</a:t>
          </a:r>
        </a:p>
        <a:p>
          <a:pPr algn="ctr"/>
          <a:r>
            <a:rPr lang="en-IN" sz="1400" b="1" i="1">
              <a:solidFill>
                <a:schemeClr val="tx1"/>
              </a:solidFill>
            </a:rPr>
            <a:t>337.5%</a:t>
          </a:r>
        </a:p>
      </xdr:txBody>
    </xdr:sp>
    <xdr:clientData/>
  </xdr:twoCellAnchor>
  <xdr:oneCellAnchor>
    <xdr:from>
      <xdr:col>9</xdr:col>
      <xdr:colOff>129540</xdr:colOff>
      <xdr:row>1</xdr:row>
      <xdr:rowOff>129540</xdr:rowOff>
    </xdr:from>
    <xdr:ext cx="184731" cy="264560"/>
    <xdr:sp macro="" textlink="">
      <xdr:nvSpPr>
        <xdr:cNvPr id="17" name="TextBox 16"/>
        <xdr:cNvSpPr txBox="1"/>
      </xdr:nvSpPr>
      <xdr:spPr>
        <a:xfrm>
          <a:off x="5615940" y="31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21</xdr:col>
      <xdr:colOff>205740</xdr:colOff>
      <xdr:row>5</xdr:row>
      <xdr:rowOff>60960</xdr:rowOff>
    </xdr:from>
    <xdr:to>
      <xdr:col>25</xdr:col>
      <xdr:colOff>259080</xdr:colOff>
      <xdr:row>9</xdr:row>
      <xdr:rowOff>7620</xdr:rowOff>
    </xdr:to>
    <xdr:sp macro="" textlink="">
      <xdr:nvSpPr>
        <xdr:cNvPr id="18" name="TextBox 17"/>
        <xdr:cNvSpPr txBox="1"/>
      </xdr:nvSpPr>
      <xdr:spPr>
        <a:xfrm>
          <a:off x="13007340" y="975360"/>
          <a:ext cx="2491740" cy="67818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N" sz="1400" b="1" i="1">
              <a:solidFill>
                <a:schemeClr val="tx1"/>
              </a:solidFill>
            </a:rPr>
            <a:t>REMAINING</a:t>
          </a:r>
        </a:p>
        <a:p>
          <a:pPr algn="ctr"/>
          <a:r>
            <a:rPr lang="en-IN" sz="1400" b="1" i="1">
              <a:solidFill>
                <a:schemeClr val="tx1"/>
              </a:solidFill>
            </a:rPr>
            <a:t>118.5%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26</xdr:row>
      <xdr:rowOff>83820</xdr:rowOff>
    </xdr:from>
    <xdr:to>
      <xdr:col>3</xdr:col>
      <xdr:colOff>114300</xdr:colOff>
      <xdr:row>41</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16</xdr:row>
      <xdr:rowOff>167640</xdr:rowOff>
    </xdr:from>
    <xdr:to>
      <xdr:col>7</xdr:col>
      <xdr:colOff>76200</xdr:colOff>
      <xdr:row>31</xdr:row>
      <xdr:rowOff>167640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541020</xdr:colOff>
      <xdr:row>18</xdr:row>
      <xdr:rowOff>38100</xdr:rowOff>
    </xdr:from>
    <xdr:to>
      <xdr:col>11</xdr:col>
      <xdr:colOff>68580</xdr:colOff>
      <xdr:row>31</xdr:row>
      <xdr:rowOff>167640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18</xdr:row>
      <xdr:rowOff>91440</xdr:rowOff>
    </xdr:from>
    <xdr:to>
      <xdr:col>15</xdr:col>
      <xdr:colOff>1043940</xdr:colOff>
      <xdr:row>33</xdr:row>
      <xdr:rowOff>91440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228600</xdr:colOff>
      <xdr:row>32</xdr:row>
      <xdr:rowOff>137160</xdr:rowOff>
    </xdr:from>
    <xdr:to>
      <xdr:col>5</xdr:col>
      <xdr:colOff>586740</xdr:colOff>
      <xdr:row>46</xdr:row>
      <xdr:rowOff>43815</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02380" y="5989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769620</xdr:colOff>
      <xdr:row>32</xdr:row>
      <xdr:rowOff>160020</xdr:rowOff>
    </xdr:from>
    <xdr:to>
      <xdr:col>7</xdr:col>
      <xdr:colOff>0</xdr:colOff>
      <xdr:row>46</xdr:row>
      <xdr:rowOff>66675</xdr:rowOff>
    </xdr:to>
    <mc:AlternateContent xmlns:mc="http://schemas.openxmlformats.org/markup-compatibility/2006">
      <mc:Choice xmlns:a14="http://schemas.microsoft.com/office/drawing/2010/main" Requires="a14">
        <xdr:graphicFrame macro="">
          <xdr:nvGraphicFramePr>
            <xdr:cNvPr id="7" name="Monthly budget"/>
            <xdr:cNvGraphicFramePr/>
          </xdr:nvGraphicFramePr>
          <xdr:xfrm>
            <a:off x="0" y="0"/>
            <a:ext cx="0" cy="0"/>
          </xdr:xfrm>
          <a:graphic>
            <a:graphicData uri="http://schemas.microsoft.com/office/drawing/2010/slicer">
              <sle:slicer xmlns:sle="http://schemas.microsoft.com/office/drawing/2010/slicer" name="Monthly budget"/>
            </a:graphicData>
          </a:graphic>
        </xdr:graphicFrame>
      </mc:Choice>
      <mc:Fallback>
        <xdr:sp macro="" textlink="">
          <xdr:nvSpPr>
            <xdr:cNvPr id="0" name=""/>
            <xdr:cNvSpPr>
              <a:spLocks noTextEdit="1"/>
            </xdr:cNvSpPr>
          </xdr:nvSpPr>
          <xdr:spPr>
            <a:xfrm>
              <a:off x="5814060" y="6012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32</xdr:row>
      <xdr:rowOff>152400</xdr:rowOff>
    </xdr:from>
    <xdr:to>
      <xdr:col>9</xdr:col>
      <xdr:colOff>548640</xdr:colOff>
      <xdr:row>46</xdr:row>
      <xdr:rowOff>59055</xdr:rowOff>
    </xdr:to>
    <mc:AlternateContent xmlns:mc="http://schemas.openxmlformats.org/markup-compatibility/2006">
      <mc:Choice xmlns:a14="http://schemas.microsoft.com/office/drawing/2010/main" Requires="a14">
        <xdr:graphicFrame macro="">
          <xdr:nvGraphicFramePr>
            <xdr:cNvPr id="8" name="Actual spent"/>
            <xdr:cNvGraphicFramePr/>
          </xdr:nvGraphicFramePr>
          <xdr:xfrm>
            <a:off x="0" y="0"/>
            <a:ext cx="0" cy="0"/>
          </xdr:xfrm>
          <a:graphic>
            <a:graphicData uri="http://schemas.microsoft.com/office/drawing/2010/slicer">
              <sle:slicer xmlns:sle="http://schemas.microsoft.com/office/drawing/2010/slicer" name="Actual spent"/>
            </a:graphicData>
          </a:graphic>
        </xdr:graphicFrame>
      </mc:Choice>
      <mc:Fallback>
        <xdr:sp macro="" textlink="">
          <xdr:nvSpPr>
            <xdr:cNvPr id="0" name=""/>
            <xdr:cNvSpPr>
              <a:spLocks noTextEdit="1"/>
            </xdr:cNvSpPr>
          </xdr:nvSpPr>
          <xdr:spPr>
            <a:xfrm>
              <a:off x="7833360" y="600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678180</xdr:colOff>
      <xdr:row>33</xdr:row>
      <xdr:rowOff>15240</xdr:rowOff>
    </xdr:from>
    <xdr:to>
      <xdr:col>10</xdr:col>
      <xdr:colOff>1036320</xdr:colOff>
      <xdr:row>46</xdr:row>
      <xdr:rowOff>104775</xdr:rowOff>
    </xdr:to>
    <mc:AlternateContent xmlns:mc="http://schemas.openxmlformats.org/markup-compatibility/2006">
      <mc:Choice xmlns:a14="http://schemas.microsoft.com/office/drawing/2010/main" Requires="a14">
        <xdr:graphicFrame macro="">
          <xdr:nvGraphicFramePr>
            <xdr:cNvPr id="9" name="Remaining"/>
            <xdr:cNvGraphicFramePr/>
          </xdr:nvGraphicFramePr>
          <xdr:xfrm>
            <a:off x="0" y="0"/>
            <a:ext cx="0" cy="0"/>
          </xdr:xfrm>
          <a:graphic>
            <a:graphicData uri="http://schemas.microsoft.com/office/drawing/2010/slicer">
              <sle:slicer xmlns:sle="http://schemas.microsoft.com/office/drawing/2010/slicer" name="Remaining"/>
            </a:graphicData>
          </a:graphic>
        </xdr:graphicFrame>
      </mc:Choice>
      <mc:Fallback>
        <xdr:sp macro="" textlink="">
          <xdr:nvSpPr>
            <xdr:cNvPr id="0" name=""/>
            <xdr:cNvSpPr>
              <a:spLocks noTextEdit="1"/>
            </xdr:cNvSpPr>
          </xdr:nvSpPr>
          <xdr:spPr>
            <a:xfrm>
              <a:off x="9791700" y="6050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HYATHI SRI  CHEPURI" refreshedDate="46043.449790509258" createdVersion="6" refreshedVersion="6" minRefreshableVersion="3" recordCount="12">
  <cacheSource type="worksheet">
    <worksheetSource ref="A1:F13" sheet="Budget"/>
  </cacheSource>
  <cacheFields count="6">
    <cacheField name="Category" numFmtId="0">
      <sharedItems count="11">
        <s v="Rent"/>
        <s v="Food"/>
        <s v="Transport"/>
        <s v="Entertainn"/>
        <s v="Savings"/>
        <s v="Shopping"/>
        <s v="Education "/>
        <s v="Utilities"/>
        <s v="Healthcare"/>
        <s v="Freelance"/>
        <s v="Salary"/>
      </sharedItems>
    </cacheField>
    <cacheField name="Monthly budget" numFmtId="0">
      <sharedItems containsSemiMixedTypes="0" containsString="0" containsNumber="1" containsInteger="1" minValue="200" maxValue="20000" count="10">
        <n v="5000"/>
        <n v="3000"/>
        <n v="1000"/>
        <n v="200"/>
        <n v="300"/>
        <n v="2000"/>
        <n v="10000"/>
        <n v="800"/>
        <n v="1500"/>
        <n v="20000"/>
      </sharedItems>
    </cacheField>
    <cacheField name="Actual spent" numFmtId="0">
      <sharedItems containsSemiMixedTypes="0" containsString="0" containsNumber="1" containsInteger="1" minValue="150" maxValue="17000" count="10">
        <n v="3500"/>
        <n v="1500"/>
        <n v="500"/>
        <n v="150"/>
        <n v="250"/>
        <n v="7000"/>
        <n v="400"/>
        <n v="1000"/>
        <n v="450"/>
        <n v="17000"/>
      </sharedItems>
    </cacheField>
    <cacheField name="Remaining" numFmtId="0">
      <sharedItems containsSemiMixedTypes="0" containsString="0" containsNumber="1" containsInteger="1" minValue="50" maxValue="3000" count="6">
        <n v="1500"/>
        <n v="500"/>
        <n v="50"/>
        <n v="3000"/>
        <n v="400"/>
        <n v="350"/>
      </sharedItems>
    </cacheField>
    <cacheField name="Month" numFmtId="0">
      <sharedItems count="1">
        <s v="January"/>
      </sharedItems>
    </cacheField>
    <cacheField name="Date " numFmtId="14">
      <sharedItems containsSemiMixedTypes="0" containsNonDate="0" containsDate="1" containsString="0" minDate="2025-01-01T00:00:00" maxDate="2025-01-13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x v="0"/>
    <x v="0"/>
    <x v="0"/>
    <d v="2025-01-01T00:00:00"/>
  </r>
  <r>
    <x v="1"/>
    <x v="1"/>
    <x v="1"/>
    <x v="0"/>
    <x v="0"/>
    <d v="2025-01-02T00:00:00"/>
  </r>
  <r>
    <x v="2"/>
    <x v="2"/>
    <x v="2"/>
    <x v="1"/>
    <x v="0"/>
    <d v="2025-01-03T00:00:00"/>
  </r>
  <r>
    <x v="3"/>
    <x v="2"/>
    <x v="2"/>
    <x v="1"/>
    <x v="0"/>
    <d v="2025-01-04T00:00:00"/>
  </r>
  <r>
    <x v="4"/>
    <x v="3"/>
    <x v="3"/>
    <x v="2"/>
    <x v="0"/>
    <d v="2025-01-05T00:00:00"/>
  </r>
  <r>
    <x v="4"/>
    <x v="4"/>
    <x v="4"/>
    <x v="2"/>
    <x v="0"/>
    <d v="2025-01-06T00:00:00"/>
  </r>
  <r>
    <x v="5"/>
    <x v="5"/>
    <x v="1"/>
    <x v="1"/>
    <x v="0"/>
    <d v="2025-01-07T00:00:00"/>
  </r>
  <r>
    <x v="6"/>
    <x v="6"/>
    <x v="5"/>
    <x v="3"/>
    <x v="0"/>
    <d v="2025-01-08T00:00:00"/>
  </r>
  <r>
    <x v="7"/>
    <x v="7"/>
    <x v="6"/>
    <x v="4"/>
    <x v="0"/>
    <d v="2025-01-09T00:00:00"/>
  </r>
  <r>
    <x v="8"/>
    <x v="8"/>
    <x v="7"/>
    <x v="1"/>
    <x v="0"/>
    <d v="2025-01-10T00:00:00"/>
  </r>
  <r>
    <x v="9"/>
    <x v="7"/>
    <x v="8"/>
    <x v="5"/>
    <x v="0"/>
    <d v="2025-01-11T00:00:00"/>
  </r>
  <r>
    <x v="10"/>
    <x v="9"/>
    <x v="9"/>
    <x v="3"/>
    <x v="0"/>
    <d v="2025-01-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5:P17" firstHeaderRow="0" firstDataRow="1" firstDataCol="1"/>
  <pivotFields count="6">
    <pivotField axis="axisRow" showAll="0">
      <items count="12">
        <item x="6"/>
        <item x="3"/>
        <item x="1"/>
        <item x="9"/>
        <item x="8"/>
        <item x="0"/>
        <item x="10"/>
        <item x="4"/>
        <item x="5"/>
        <item x="2"/>
        <item x="7"/>
        <item t="default"/>
      </items>
    </pivotField>
    <pivotField dataField="1" showAll="0">
      <items count="11">
        <item x="3"/>
        <item x="4"/>
        <item x="7"/>
        <item x="2"/>
        <item x="8"/>
        <item x="5"/>
        <item x="1"/>
        <item x="0"/>
        <item x="6"/>
        <item x="9"/>
        <item t="default"/>
      </items>
    </pivotField>
    <pivotField dataField="1" showAll="0">
      <items count="11">
        <item x="3"/>
        <item x="4"/>
        <item x="6"/>
        <item x="8"/>
        <item x="2"/>
        <item x="7"/>
        <item x="1"/>
        <item x="0"/>
        <item x="5"/>
        <item x="9"/>
        <item t="default"/>
      </items>
    </pivotField>
    <pivotField dataField="1" showAll="0">
      <items count="7">
        <item x="2"/>
        <item x="5"/>
        <item x="4"/>
        <item x="1"/>
        <item x="0"/>
        <item x="3"/>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Monthly budget" fld="1" baseField="0" baseItem="0"/>
    <dataField name="Sum of Actual spent" fld="2" baseField="0" baseItem="0"/>
    <dataField name="Sum of Remaining" fld="3" baseField="0" baseItem="0"/>
  </dataFields>
  <chartFormats count="3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39" series="1">
      <pivotArea type="data" outline="0" fieldPosition="0">
        <references count="1">
          <reference field="4294967294" count="1" selected="0">
            <x v="0"/>
          </reference>
        </references>
      </pivotArea>
    </chartFormat>
    <chartFormat chart="4" format="40">
      <pivotArea type="data" outline="0" fieldPosition="0">
        <references count="2">
          <reference field="4294967294" count="1" selected="0">
            <x v="0"/>
          </reference>
          <reference field="0" count="1" selected="0">
            <x v="0"/>
          </reference>
        </references>
      </pivotArea>
    </chartFormat>
    <chartFormat chart="4" format="41">
      <pivotArea type="data" outline="0" fieldPosition="0">
        <references count="2">
          <reference field="4294967294" count="1" selected="0">
            <x v="0"/>
          </reference>
          <reference field="0" count="1" selected="0">
            <x v="1"/>
          </reference>
        </references>
      </pivotArea>
    </chartFormat>
    <chartFormat chart="4" format="42">
      <pivotArea type="data" outline="0" fieldPosition="0">
        <references count="2">
          <reference field="4294967294" count="1" selected="0">
            <x v="0"/>
          </reference>
          <reference field="0" count="1" selected="0">
            <x v="2"/>
          </reference>
        </references>
      </pivotArea>
    </chartFormat>
    <chartFormat chart="4" format="43">
      <pivotArea type="data" outline="0" fieldPosition="0">
        <references count="2">
          <reference field="4294967294" count="1" selected="0">
            <x v="0"/>
          </reference>
          <reference field="0" count="1" selected="0">
            <x v="3"/>
          </reference>
        </references>
      </pivotArea>
    </chartFormat>
    <chartFormat chart="4" format="44">
      <pivotArea type="data" outline="0" fieldPosition="0">
        <references count="2">
          <reference field="4294967294" count="1" selected="0">
            <x v="0"/>
          </reference>
          <reference field="0" count="1" selected="0">
            <x v="4"/>
          </reference>
        </references>
      </pivotArea>
    </chartFormat>
    <chartFormat chart="4" format="45">
      <pivotArea type="data" outline="0" fieldPosition="0">
        <references count="2">
          <reference field="4294967294" count="1" selected="0">
            <x v="0"/>
          </reference>
          <reference field="0" count="1" selected="0">
            <x v="5"/>
          </reference>
        </references>
      </pivotArea>
    </chartFormat>
    <chartFormat chart="4" format="46">
      <pivotArea type="data" outline="0" fieldPosition="0">
        <references count="2">
          <reference field="4294967294" count="1" selected="0">
            <x v="0"/>
          </reference>
          <reference field="0" count="1" selected="0">
            <x v="6"/>
          </reference>
        </references>
      </pivotArea>
    </chartFormat>
    <chartFormat chart="4" format="47">
      <pivotArea type="data" outline="0" fieldPosition="0">
        <references count="2">
          <reference field="4294967294" count="1" selected="0">
            <x v="0"/>
          </reference>
          <reference field="0" count="1" selected="0">
            <x v="7"/>
          </reference>
        </references>
      </pivotArea>
    </chartFormat>
    <chartFormat chart="4" format="48">
      <pivotArea type="data" outline="0" fieldPosition="0">
        <references count="2">
          <reference field="4294967294" count="1" selected="0">
            <x v="0"/>
          </reference>
          <reference field="0" count="1" selected="0">
            <x v="8"/>
          </reference>
        </references>
      </pivotArea>
    </chartFormat>
    <chartFormat chart="4" format="49">
      <pivotArea type="data" outline="0" fieldPosition="0">
        <references count="2">
          <reference field="4294967294" count="1" selected="0">
            <x v="0"/>
          </reference>
          <reference field="0" count="1" selected="0">
            <x v="9"/>
          </reference>
        </references>
      </pivotArea>
    </chartFormat>
    <chartFormat chart="4" format="50">
      <pivotArea type="data" outline="0" fieldPosition="0">
        <references count="2">
          <reference field="4294967294" count="1" selected="0">
            <x v="0"/>
          </reference>
          <reference field="0" count="1" selected="0">
            <x v="10"/>
          </reference>
        </references>
      </pivotArea>
    </chartFormat>
    <chartFormat chart="4" format="51" series="1">
      <pivotArea type="data" outline="0" fieldPosition="0">
        <references count="1">
          <reference field="4294967294" count="1" selected="0">
            <x v="1"/>
          </reference>
        </references>
      </pivotArea>
    </chartFormat>
    <chartFormat chart="4" format="52">
      <pivotArea type="data" outline="0" fieldPosition="0">
        <references count="2">
          <reference field="4294967294" count="1" selected="0">
            <x v="1"/>
          </reference>
          <reference field="0" count="1" selected="0">
            <x v="0"/>
          </reference>
        </references>
      </pivotArea>
    </chartFormat>
    <chartFormat chart="4" format="53">
      <pivotArea type="data" outline="0" fieldPosition="0">
        <references count="2">
          <reference field="4294967294" count="1" selected="0">
            <x v="1"/>
          </reference>
          <reference field="0" count="1" selected="0">
            <x v="1"/>
          </reference>
        </references>
      </pivotArea>
    </chartFormat>
    <chartFormat chart="4" format="54">
      <pivotArea type="data" outline="0" fieldPosition="0">
        <references count="2">
          <reference field="4294967294" count="1" selected="0">
            <x v="1"/>
          </reference>
          <reference field="0" count="1" selected="0">
            <x v="2"/>
          </reference>
        </references>
      </pivotArea>
    </chartFormat>
    <chartFormat chart="4" format="55">
      <pivotArea type="data" outline="0" fieldPosition="0">
        <references count="2">
          <reference field="4294967294" count="1" selected="0">
            <x v="1"/>
          </reference>
          <reference field="0" count="1" selected="0">
            <x v="3"/>
          </reference>
        </references>
      </pivotArea>
    </chartFormat>
    <chartFormat chart="4" format="56">
      <pivotArea type="data" outline="0" fieldPosition="0">
        <references count="2">
          <reference field="4294967294" count="1" selected="0">
            <x v="1"/>
          </reference>
          <reference field="0" count="1" selected="0">
            <x v="4"/>
          </reference>
        </references>
      </pivotArea>
    </chartFormat>
    <chartFormat chart="4" format="57">
      <pivotArea type="data" outline="0" fieldPosition="0">
        <references count="2">
          <reference field="4294967294" count="1" selected="0">
            <x v="1"/>
          </reference>
          <reference field="0" count="1" selected="0">
            <x v="5"/>
          </reference>
        </references>
      </pivotArea>
    </chartFormat>
    <chartFormat chart="4" format="58">
      <pivotArea type="data" outline="0" fieldPosition="0">
        <references count="2">
          <reference field="4294967294" count="1" selected="0">
            <x v="1"/>
          </reference>
          <reference field="0" count="1" selected="0">
            <x v="6"/>
          </reference>
        </references>
      </pivotArea>
    </chartFormat>
    <chartFormat chart="4" format="59">
      <pivotArea type="data" outline="0" fieldPosition="0">
        <references count="2">
          <reference field="4294967294" count="1" selected="0">
            <x v="1"/>
          </reference>
          <reference field="0" count="1" selected="0">
            <x v="7"/>
          </reference>
        </references>
      </pivotArea>
    </chartFormat>
    <chartFormat chart="4" format="60">
      <pivotArea type="data" outline="0" fieldPosition="0">
        <references count="2">
          <reference field="4294967294" count="1" selected="0">
            <x v="1"/>
          </reference>
          <reference field="0" count="1" selected="0">
            <x v="8"/>
          </reference>
        </references>
      </pivotArea>
    </chartFormat>
    <chartFormat chart="4" format="61">
      <pivotArea type="data" outline="0" fieldPosition="0">
        <references count="2">
          <reference field="4294967294" count="1" selected="0">
            <x v="1"/>
          </reference>
          <reference field="0" count="1" selected="0">
            <x v="9"/>
          </reference>
        </references>
      </pivotArea>
    </chartFormat>
    <chartFormat chart="4" format="62">
      <pivotArea type="data" outline="0" fieldPosition="0">
        <references count="2">
          <reference field="4294967294" count="1" selected="0">
            <x v="1"/>
          </reference>
          <reference field="0" count="1" selected="0">
            <x v="10"/>
          </reference>
        </references>
      </pivotArea>
    </chartFormat>
    <chartFormat chart="4" format="63" series="1">
      <pivotArea type="data" outline="0" fieldPosition="0">
        <references count="1">
          <reference field="4294967294" count="1" selected="0">
            <x v="2"/>
          </reference>
        </references>
      </pivotArea>
    </chartFormat>
    <chartFormat chart="4" format="64">
      <pivotArea type="data" outline="0" fieldPosition="0">
        <references count="2">
          <reference field="4294967294" count="1" selected="0">
            <x v="2"/>
          </reference>
          <reference field="0" count="1" selected="0">
            <x v="0"/>
          </reference>
        </references>
      </pivotArea>
    </chartFormat>
    <chartFormat chart="4" format="65">
      <pivotArea type="data" outline="0" fieldPosition="0">
        <references count="2">
          <reference field="4294967294" count="1" selected="0">
            <x v="2"/>
          </reference>
          <reference field="0" count="1" selected="0">
            <x v="1"/>
          </reference>
        </references>
      </pivotArea>
    </chartFormat>
    <chartFormat chart="4" format="66">
      <pivotArea type="data" outline="0" fieldPosition="0">
        <references count="2">
          <reference field="4294967294" count="1" selected="0">
            <x v="2"/>
          </reference>
          <reference field="0" count="1" selected="0">
            <x v="2"/>
          </reference>
        </references>
      </pivotArea>
    </chartFormat>
    <chartFormat chart="4" format="67">
      <pivotArea type="data" outline="0" fieldPosition="0">
        <references count="2">
          <reference field="4294967294" count="1" selected="0">
            <x v="2"/>
          </reference>
          <reference field="0" count="1" selected="0">
            <x v="3"/>
          </reference>
        </references>
      </pivotArea>
    </chartFormat>
    <chartFormat chart="4" format="68">
      <pivotArea type="data" outline="0" fieldPosition="0">
        <references count="2">
          <reference field="4294967294" count="1" selected="0">
            <x v="2"/>
          </reference>
          <reference field="0" count="1" selected="0">
            <x v="4"/>
          </reference>
        </references>
      </pivotArea>
    </chartFormat>
    <chartFormat chart="4" format="69">
      <pivotArea type="data" outline="0" fieldPosition="0">
        <references count="2">
          <reference field="4294967294" count="1" selected="0">
            <x v="2"/>
          </reference>
          <reference field="0" count="1" selected="0">
            <x v="5"/>
          </reference>
        </references>
      </pivotArea>
    </chartFormat>
    <chartFormat chart="4" format="70">
      <pivotArea type="data" outline="0" fieldPosition="0">
        <references count="2">
          <reference field="4294967294" count="1" selected="0">
            <x v="2"/>
          </reference>
          <reference field="0" count="1" selected="0">
            <x v="6"/>
          </reference>
        </references>
      </pivotArea>
    </chartFormat>
    <chartFormat chart="4" format="71">
      <pivotArea type="data" outline="0" fieldPosition="0">
        <references count="2">
          <reference field="4294967294" count="1" selected="0">
            <x v="2"/>
          </reference>
          <reference field="0" count="1" selected="0">
            <x v="7"/>
          </reference>
        </references>
      </pivotArea>
    </chartFormat>
    <chartFormat chart="4" format="72">
      <pivotArea type="data" outline="0" fieldPosition="0">
        <references count="2">
          <reference field="4294967294" count="1" selected="0">
            <x v="2"/>
          </reference>
          <reference field="0" count="1" selected="0">
            <x v="8"/>
          </reference>
        </references>
      </pivotArea>
    </chartFormat>
    <chartFormat chart="4" format="73">
      <pivotArea type="data" outline="0" fieldPosition="0">
        <references count="2">
          <reference field="4294967294" count="1" selected="0">
            <x v="2"/>
          </reference>
          <reference field="0" count="1" selected="0">
            <x v="9"/>
          </reference>
        </references>
      </pivotArea>
    </chartFormat>
    <chartFormat chart="4" format="74">
      <pivotArea type="data" outline="0" fieldPosition="0">
        <references count="2">
          <reference field="4294967294" count="1" selected="0">
            <x v="2"/>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I5:K17" firstHeaderRow="0" firstDataRow="1" firstDataCol="1"/>
  <pivotFields count="6">
    <pivotField axis="axisRow" showAll="0">
      <items count="12">
        <item x="6"/>
        <item x="3"/>
        <item x="1"/>
        <item x="9"/>
        <item x="8"/>
        <item x="0"/>
        <item x="10"/>
        <item x="4"/>
        <item x="5"/>
        <item x="2"/>
        <item x="7"/>
        <item t="default"/>
      </items>
    </pivotField>
    <pivotField dataField="1" showAll="0">
      <items count="11">
        <item x="3"/>
        <item x="4"/>
        <item x="7"/>
        <item x="2"/>
        <item x="8"/>
        <item x="5"/>
        <item x="1"/>
        <item x="0"/>
        <item x="6"/>
        <item x="9"/>
        <item t="default"/>
      </items>
    </pivotField>
    <pivotField dataField="1" showAll="0">
      <items count="11">
        <item x="3"/>
        <item x="4"/>
        <item x="6"/>
        <item x="8"/>
        <item x="2"/>
        <item x="7"/>
        <item x="1"/>
        <item x="0"/>
        <item x="5"/>
        <item x="9"/>
        <item t="default"/>
      </items>
    </pivotField>
    <pivotField showAll="0">
      <items count="7">
        <item x="2"/>
        <item x="5"/>
        <item x="4"/>
        <item x="1"/>
        <item x="0"/>
        <item x="3"/>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Monthly budget" fld="1" baseField="0" baseItem="0"/>
    <dataField name="Sum of Actual spent" fld="2" baseField="0"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4:G16" firstHeaderRow="0" firstDataRow="1" firstDataCol="1"/>
  <pivotFields count="6">
    <pivotField axis="axisRow" showAll="0">
      <items count="12">
        <item x="6"/>
        <item x="3"/>
        <item x="1"/>
        <item x="9"/>
        <item x="8"/>
        <item x="0"/>
        <item x="10"/>
        <item x="4"/>
        <item x="5"/>
        <item x="2"/>
        <item x="7"/>
        <item t="default"/>
      </items>
    </pivotField>
    <pivotField dataField="1" showAll="0">
      <items count="11">
        <item x="3"/>
        <item x="4"/>
        <item x="7"/>
        <item x="2"/>
        <item x="8"/>
        <item x="5"/>
        <item x="1"/>
        <item x="0"/>
        <item x="6"/>
        <item x="9"/>
        <item t="default"/>
      </items>
    </pivotField>
    <pivotField showAll="0">
      <items count="11">
        <item x="3"/>
        <item x="4"/>
        <item x="6"/>
        <item x="8"/>
        <item x="2"/>
        <item x="7"/>
        <item x="1"/>
        <item x="0"/>
        <item x="5"/>
        <item x="9"/>
        <item t="default"/>
      </items>
    </pivotField>
    <pivotField dataField="1" showAll="0">
      <items count="7">
        <item x="2"/>
        <item x="5"/>
        <item x="4"/>
        <item x="1"/>
        <item x="0"/>
        <item x="3"/>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Monthly budget" fld="1" baseField="0" baseItem="0"/>
    <dataField name="Sum of Remaining" fld="3" baseField="0" baseItem="0"/>
  </dataFields>
  <chartFormats count="26">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0" count="1" selected="0">
            <x v="0"/>
          </reference>
        </references>
      </pivotArea>
    </chartFormat>
    <chartFormat chart="5" format="30">
      <pivotArea type="data" outline="0" fieldPosition="0">
        <references count="2">
          <reference field="4294967294" count="1" selected="0">
            <x v="0"/>
          </reference>
          <reference field="0" count="1" selected="0">
            <x v="1"/>
          </reference>
        </references>
      </pivotArea>
    </chartFormat>
    <chartFormat chart="5" format="31">
      <pivotArea type="data" outline="0" fieldPosition="0">
        <references count="2">
          <reference field="4294967294" count="1" selected="0">
            <x v="0"/>
          </reference>
          <reference field="0" count="1" selected="0">
            <x v="2"/>
          </reference>
        </references>
      </pivotArea>
    </chartFormat>
    <chartFormat chart="5" format="32">
      <pivotArea type="data" outline="0" fieldPosition="0">
        <references count="2">
          <reference field="4294967294" count="1" selected="0">
            <x v="0"/>
          </reference>
          <reference field="0" count="1" selected="0">
            <x v="3"/>
          </reference>
        </references>
      </pivotArea>
    </chartFormat>
    <chartFormat chart="5" format="33">
      <pivotArea type="data" outline="0" fieldPosition="0">
        <references count="2">
          <reference field="4294967294" count="1" selected="0">
            <x v="0"/>
          </reference>
          <reference field="0" count="1" selected="0">
            <x v="4"/>
          </reference>
        </references>
      </pivotArea>
    </chartFormat>
    <chartFormat chart="5" format="34">
      <pivotArea type="data" outline="0" fieldPosition="0">
        <references count="2">
          <reference field="4294967294" count="1" selected="0">
            <x v="0"/>
          </reference>
          <reference field="0" count="1" selected="0">
            <x v="5"/>
          </reference>
        </references>
      </pivotArea>
    </chartFormat>
    <chartFormat chart="5" format="35">
      <pivotArea type="data" outline="0" fieldPosition="0">
        <references count="2">
          <reference field="4294967294" count="1" selected="0">
            <x v="0"/>
          </reference>
          <reference field="0" count="1" selected="0">
            <x v="6"/>
          </reference>
        </references>
      </pivotArea>
    </chartFormat>
    <chartFormat chart="5" format="36">
      <pivotArea type="data" outline="0" fieldPosition="0">
        <references count="2">
          <reference field="4294967294" count="1" selected="0">
            <x v="0"/>
          </reference>
          <reference field="0" count="1" selected="0">
            <x v="7"/>
          </reference>
        </references>
      </pivotArea>
    </chartFormat>
    <chartFormat chart="5" format="37">
      <pivotArea type="data" outline="0" fieldPosition="0">
        <references count="2">
          <reference field="4294967294" count="1" selected="0">
            <x v="0"/>
          </reference>
          <reference field="0" count="1" selected="0">
            <x v="8"/>
          </reference>
        </references>
      </pivotArea>
    </chartFormat>
    <chartFormat chart="5" format="38">
      <pivotArea type="data" outline="0" fieldPosition="0">
        <references count="2">
          <reference field="4294967294" count="1" selected="0">
            <x v="0"/>
          </reference>
          <reference field="0" count="1" selected="0">
            <x v="9"/>
          </reference>
        </references>
      </pivotArea>
    </chartFormat>
    <chartFormat chart="5" format="39">
      <pivotArea type="data" outline="0" fieldPosition="0">
        <references count="2">
          <reference field="4294967294" count="1" selected="0">
            <x v="0"/>
          </reference>
          <reference field="0" count="1" selected="0">
            <x v="10"/>
          </reference>
        </references>
      </pivotArea>
    </chartFormat>
    <chartFormat chart="5" format="40" series="1">
      <pivotArea type="data" outline="0" fieldPosition="0">
        <references count="1">
          <reference field="4294967294" count="1" selected="0">
            <x v="1"/>
          </reference>
        </references>
      </pivotArea>
    </chartFormat>
    <chartFormat chart="5" format="41">
      <pivotArea type="data" outline="0" fieldPosition="0">
        <references count="2">
          <reference field="4294967294" count="1" selected="0">
            <x v="1"/>
          </reference>
          <reference field="0" count="1" selected="0">
            <x v="0"/>
          </reference>
        </references>
      </pivotArea>
    </chartFormat>
    <chartFormat chart="5" format="42">
      <pivotArea type="data" outline="0" fieldPosition="0">
        <references count="2">
          <reference field="4294967294" count="1" selected="0">
            <x v="1"/>
          </reference>
          <reference field="0" count="1" selected="0">
            <x v="1"/>
          </reference>
        </references>
      </pivotArea>
    </chartFormat>
    <chartFormat chart="5" format="43">
      <pivotArea type="data" outline="0" fieldPosition="0">
        <references count="2">
          <reference field="4294967294" count="1" selected="0">
            <x v="1"/>
          </reference>
          <reference field="0" count="1" selected="0">
            <x v="2"/>
          </reference>
        </references>
      </pivotArea>
    </chartFormat>
    <chartFormat chart="5" format="44">
      <pivotArea type="data" outline="0" fieldPosition="0">
        <references count="2">
          <reference field="4294967294" count="1" selected="0">
            <x v="1"/>
          </reference>
          <reference field="0" count="1" selected="0">
            <x v="3"/>
          </reference>
        </references>
      </pivotArea>
    </chartFormat>
    <chartFormat chart="5" format="45">
      <pivotArea type="data" outline="0" fieldPosition="0">
        <references count="2">
          <reference field="4294967294" count="1" selected="0">
            <x v="1"/>
          </reference>
          <reference field="0" count="1" selected="0">
            <x v="4"/>
          </reference>
        </references>
      </pivotArea>
    </chartFormat>
    <chartFormat chart="5" format="46">
      <pivotArea type="data" outline="0" fieldPosition="0">
        <references count="2">
          <reference field="4294967294" count="1" selected="0">
            <x v="1"/>
          </reference>
          <reference field="0" count="1" selected="0">
            <x v="5"/>
          </reference>
        </references>
      </pivotArea>
    </chartFormat>
    <chartFormat chart="5" format="47">
      <pivotArea type="data" outline="0" fieldPosition="0">
        <references count="2">
          <reference field="4294967294" count="1" selected="0">
            <x v="1"/>
          </reference>
          <reference field="0" count="1" selected="0">
            <x v="6"/>
          </reference>
        </references>
      </pivotArea>
    </chartFormat>
    <chartFormat chart="5" format="48">
      <pivotArea type="data" outline="0" fieldPosition="0">
        <references count="2">
          <reference field="4294967294" count="1" selected="0">
            <x v="1"/>
          </reference>
          <reference field="0" count="1" selected="0">
            <x v="7"/>
          </reference>
        </references>
      </pivotArea>
    </chartFormat>
    <chartFormat chart="5" format="49">
      <pivotArea type="data" outline="0" fieldPosition="0">
        <references count="2">
          <reference field="4294967294" count="1" selected="0">
            <x v="1"/>
          </reference>
          <reference field="0" count="1" selected="0">
            <x v="8"/>
          </reference>
        </references>
      </pivotArea>
    </chartFormat>
    <chartFormat chart="5" format="50">
      <pivotArea type="data" outline="0" fieldPosition="0">
        <references count="2">
          <reference field="4294967294" count="1" selected="0">
            <x v="1"/>
          </reference>
          <reference field="0" count="1" selected="0">
            <x v="9"/>
          </reference>
        </references>
      </pivotArea>
    </chartFormat>
    <chartFormat chart="5" format="51">
      <pivotArea type="data" outline="0" fieldPosition="0">
        <references count="2">
          <reference field="4294967294" count="1" selected="0">
            <x v="1"/>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26" firstHeaderRow="0" firstDataRow="1" firstDataCol="1"/>
  <pivotFields count="6">
    <pivotField axis="axisRow" showAll="0">
      <items count="12">
        <item x="6"/>
        <item x="3"/>
        <item x="1"/>
        <item x="9"/>
        <item x="8"/>
        <item x="0"/>
        <item x="10"/>
        <item x="4"/>
        <item x="5"/>
        <item x="2"/>
        <item x="7"/>
        <item t="default"/>
      </items>
    </pivotField>
    <pivotField dataField="1" showAll="0">
      <items count="11">
        <item x="3"/>
        <item x="4"/>
        <item x="7"/>
        <item x="2"/>
        <item x="8"/>
        <item x="5"/>
        <item x="1"/>
        <item x="0"/>
        <item x="6"/>
        <item x="9"/>
        <item t="default"/>
      </items>
    </pivotField>
    <pivotField dataField="1" showAll="0">
      <items count="11">
        <item x="3"/>
        <item x="4"/>
        <item x="6"/>
        <item x="8"/>
        <item x="2"/>
        <item x="7"/>
        <item x="1"/>
        <item x="0"/>
        <item x="5"/>
        <item x="9"/>
        <item t="default"/>
      </items>
    </pivotField>
    <pivotField showAll="0">
      <items count="7">
        <item x="2"/>
        <item x="5"/>
        <item x="4"/>
        <item x="1"/>
        <item x="0"/>
        <item x="3"/>
        <item t="default"/>
      </items>
    </pivotField>
    <pivotField axis="axisRow" showAll="0">
      <items count="2">
        <item x="0"/>
        <item t="default"/>
      </items>
    </pivotField>
    <pivotField numFmtId="14" showAll="0"/>
  </pivotFields>
  <rowFields count="2">
    <field x="0"/>
    <field x="4"/>
  </rowFields>
  <rowItems count="23">
    <i>
      <x/>
    </i>
    <i r="1">
      <x/>
    </i>
    <i>
      <x v="1"/>
    </i>
    <i r="1">
      <x/>
    </i>
    <i>
      <x v="2"/>
    </i>
    <i r="1">
      <x/>
    </i>
    <i>
      <x v="3"/>
    </i>
    <i r="1">
      <x/>
    </i>
    <i>
      <x v="4"/>
    </i>
    <i r="1">
      <x/>
    </i>
    <i>
      <x v="5"/>
    </i>
    <i r="1">
      <x/>
    </i>
    <i>
      <x v="6"/>
    </i>
    <i r="1">
      <x/>
    </i>
    <i>
      <x v="7"/>
    </i>
    <i r="1">
      <x/>
    </i>
    <i>
      <x v="8"/>
    </i>
    <i r="1">
      <x/>
    </i>
    <i>
      <x v="9"/>
    </i>
    <i r="1">
      <x/>
    </i>
    <i>
      <x v="10"/>
    </i>
    <i r="1">
      <x/>
    </i>
    <i t="grand">
      <x/>
    </i>
  </rowItems>
  <colFields count="1">
    <field x="-2"/>
  </colFields>
  <colItems count="2">
    <i>
      <x/>
    </i>
    <i i="1">
      <x v="1"/>
    </i>
  </colItems>
  <dataFields count="2">
    <dataField name="Sum of Monthly budget" fld="1" baseField="0" baseItem="0"/>
    <dataField name="Sum of Actual spent" fld="2"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 tabId="5" name="PivotTable4"/>
    <pivotTable tabId="5" name="PivotTable5"/>
    <pivotTable tabId="5" name="PivotTable6"/>
  </pivotTables>
  <data>
    <tabular pivotCacheId="1">
      <items count="11">
        <i x="6" s="1"/>
        <i x="3" s="1"/>
        <i x="1" s="1"/>
        <i x="9" s="1"/>
        <i x="8" s="1"/>
        <i x="0" s="1"/>
        <i x="10" s="1"/>
        <i x="4" s="1"/>
        <i x="5"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ly_budget" sourceName="Monthly budget">
  <pivotTables>
    <pivotTable tabId="5" name="PivotTable2"/>
    <pivotTable tabId="5" name="PivotTable4"/>
    <pivotTable tabId="5" name="PivotTable5"/>
    <pivotTable tabId="5" name="PivotTable6"/>
  </pivotTables>
  <data>
    <tabular pivotCacheId="1">
      <items count="10">
        <i x="3" s="1"/>
        <i x="4" s="1"/>
        <i x="7" s="1"/>
        <i x="2" s="1"/>
        <i x="8" s="1"/>
        <i x="5" s="1"/>
        <i x="1" s="1"/>
        <i x="0"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spent" sourceName="Actual spent">
  <pivotTables>
    <pivotTable tabId="5" name="PivotTable2"/>
    <pivotTable tabId="5" name="PivotTable4"/>
    <pivotTable tabId="5" name="PivotTable5"/>
    <pivotTable tabId="5" name="PivotTable6"/>
  </pivotTables>
  <data>
    <tabular pivotCacheId="1">
      <items count="10">
        <i x="3" s="1"/>
        <i x="4" s="1"/>
        <i x="6" s="1"/>
        <i x="8" s="1"/>
        <i x="2" s="1"/>
        <i x="7" s="1"/>
        <i x="1" s="1"/>
        <i x="0" s="1"/>
        <i x="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maining" sourceName="Remaining">
  <pivotTables>
    <pivotTable tabId="5" name="PivotTable2"/>
    <pivotTable tabId="5" name="PivotTable4"/>
    <pivotTable tabId="5" name="PivotTable5"/>
    <pivotTable tabId="5" name="PivotTable6"/>
  </pivotTables>
  <data>
    <tabular pivotCacheId="1">
      <items count="6">
        <i x="2" s="1"/>
        <i x="5" s="1"/>
        <i x="4"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34950"/>
  <slicer name="Monthly budget 1" cache="Slicer_Monthly_budget" caption="Monthly budget" rowHeight="234950"/>
  <slicer name="Actual spent 1" cache="Slicer_Actual_spent" caption="Actual spent" rowHeight="234950"/>
  <slicer name="Remaining 1" cache="Slicer_Remaining" caption="Remaining"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Monthly budget" cache="Slicer_Monthly_budget" caption="Monthly budget" rowHeight="234950"/>
  <slicer name="Actual spent" cache="Slicer_Actual_spent" caption="Actual spent" rowHeight="234950"/>
  <slicer name="Remaining" cache="Slicer_Remaining" caption="Remain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60" zoomScaleNormal="60" workbookViewId="0">
      <selection activeCell="AA9" sqref="AA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sqref="A1:F13"/>
    </sheetView>
  </sheetViews>
  <sheetFormatPr defaultRowHeight="14.4" x14ac:dyDescent="0.3"/>
  <cols>
    <col min="1" max="1" width="10.33203125" bestFit="1" customWidth="1"/>
    <col min="2" max="2" width="10.5546875" bestFit="1" customWidth="1"/>
    <col min="4" max="4" width="15.21875" bestFit="1" customWidth="1"/>
    <col min="5" max="5" width="13.109375" bestFit="1" customWidth="1"/>
  </cols>
  <sheetData>
    <row r="1" spans="1:6" x14ac:dyDescent="0.3">
      <c r="A1" t="s">
        <v>0</v>
      </c>
      <c r="B1" t="s">
        <v>1</v>
      </c>
      <c r="C1" t="s">
        <v>2</v>
      </c>
      <c r="D1" t="s">
        <v>3</v>
      </c>
      <c r="E1" t="s">
        <v>4</v>
      </c>
      <c r="F1" t="s">
        <v>5</v>
      </c>
    </row>
    <row r="2" spans="1:6" x14ac:dyDescent="0.3">
      <c r="A2" s="1">
        <v>45658</v>
      </c>
      <c r="B2" t="s">
        <v>6</v>
      </c>
      <c r="C2" t="s">
        <v>15</v>
      </c>
      <c r="D2" t="s">
        <v>17</v>
      </c>
      <c r="E2">
        <v>6000</v>
      </c>
      <c r="F2" t="str">
        <f>TEXT(A2,"mmmm")</f>
        <v>January</v>
      </c>
    </row>
    <row r="3" spans="1:6" x14ac:dyDescent="0.3">
      <c r="A3" s="1">
        <v>45659</v>
      </c>
      <c r="B3" t="s">
        <v>7</v>
      </c>
      <c r="C3" t="s">
        <v>15</v>
      </c>
      <c r="D3" t="s">
        <v>18</v>
      </c>
      <c r="E3">
        <v>3500</v>
      </c>
      <c r="F3" t="str">
        <f t="shared" ref="F3:F13" si="0">TEXT(A3,"mmmm")</f>
        <v>January</v>
      </c>
    </row>
    <row r="4" spans="1:6" x14ac:dyDescent="0.3">
      <c r="A4" s="1">
        <v>45660</v>
      </c>
      <c r="B4" t="s">
        <v>8</v>
      </c>
      <c r="C4" t="s">
        <v>15</v>
      </c>
      <c r="D4" t="s">
        <v>19</v>
      </c>
      <c r="E4">
        <v>4000</v>
      </c>
      <c r="F4" t="str">
        <f t="shared" si="0"/>
        <v>January</v>
      </c>
    </row>
    <row r="5" spans="1:6" x14ac:dyDescent="0.3">
      <c r="A5" s="1">
        <v>45661</v>
      </c>
      <c r="B5" t="s">
        <v>9</v>
      </c>
      <c r="C5" t="s">
        <v>15</v>
      </c>
      <c r="D5" t="s">
        <v>20</v>
      </c>
      <c r="E5">
        <v>1000</v>
      </c>
      <c r="F5" t="str">
        <f t="shared" si="0"/>
        <v>January</v>
      </c>
    </row>
    <row r="6" spans="1:6" x14ac:dyDescent="0.3">
      <c r="A6" s="1">
        <v>45662</v>
      </c>
      <c r="B6" t="s">
        <v>10</v>
      </c>
      <c r="C6" t="s">
        <v>10</v>
      </c>
      <c r="D6" t="s">
        <v>21</v>
      </c>
      <c r="E6">
        <v>1000</v>
      </c>
      <c r="F6" t="str">
        <f t="shared" si="0"/>
        <v>January</v>
      </c>
    </row>
    <row r="7" spans="1:6" x14ac:dyDescent="0.3">
      <c r="A7" s="1">
        <v>45663</v>
      </c>
      <c r="B7" t="s">
        <v>10</v>
      </c>
      <c r="C7" t="s">
        <v>10</v>
      </c>
      <c r="D7" t="s">
        <v>22</v>
      </c>
      <c r="E7">
        <v>4500</v>
      </c>
      <c r="F7" t="str">
        <f t="shared" si="0"/>
        <v>January</v>
      </c>
    </row>
    <row r="8" spans="1:6" x14ac:dyDescent="0.3">
      <c r="A8" s="1">
        <v>45664</v>
      </c>
      <c r="B8" t="s">
        <v>11</v>
      </c>
      <c r="C8" t="s">
        <v>15</v>
      </c>
      <c r="D8" t="s">
        <v>23</v>
      </c>
      <c r="E8">
        <v>2000</v>
      </c>
      <c r="F8" t="str">
        <f t="shared" si="0"/>
        <v>January</v>
      </c>
    </row>
    <row r="9" spans="1:6" x14ac:dyDescent="0.3">
      <c r="A9" s="1">
        <v>45665</v>
      </c>
      <c r="B9" t="s">
        <v>29</v>
      </c>
      <c r="C9" t="s">
        <v>15</v>
      </c>
      <c r="D9" t="s">
        <v>24</v>
      </c>
      <c r="E9">
        <v>2500</v>
      </c>
      <c r="F9" t="str">
        <f t="shared" si="0"/>
        <v>January</v>
      </c>
    </row>
    <row r="10" spans="1:6" x14ac:dyDescent="0.3">
      <c r="A10" s="1">
        <v>45666</v>
      </c>
      <c r="B10" t="s">
        <v>12</v>
      </c>
      <c r="C10" t="s">
        <v>15</v>
      </c>
      <c r="D10" t="s">
        <v>25</v>
      </c>
      <c r="E10">
        <v>1000</v>
      </c>
      <c r="F10" t="str">
        <f t="shared" si="0"/>
        <v>January</v>
      </c>
    </row>
    <row r="11" spans="1:6" x14ac:dyDescent="0.3">
      <c r="A11" s="1">
        <v>45667</v>
      </c>
      <c r="B11" t="s">
        <v>30</v>
      </c>
      <c r="C11" t="s">
        <v>15</v>
      </c>
      <c r="D11" t="s">
        <v>26</v>
      </c>
      <c r="E11">
        <v>4000</v>
      </c>
      <c r="F11" t="str">
        <f t="shared" si="0"/>
        <v>January</v>
      </c>
    </row>
    <row r="12" spans="1:6" x14ac:dyDescent="0.3">
      <c r="A12" s="1">
        <v>45668</v>
      </c>
      <c r="B12" t="s">
        <v>13</v>
      </c>
      <c r="C12" t="s">
        <v>16</v>
      </c>
      <c r="D12" t="s">
        <v>27</v>
      </c>
      <c r="E12">
        <v>5000</v>
      </c>
      <c r="F12" t="str">
        <f t="shared" si="0"/>
        <v>January</v>
      </c>
    </row>
    <row r="13" spans="1:6" x14ac:dyDescent="0.3">
      <c r="A13" s="1">
        <v>45669</v>
      </c>
      <c r="B13" t="s">
        <v>14</v>
      </c>
      <c r="C13" t="s">
        <v>16</v>
      </c>
      <c r="D13" t="s">
        <v>28</v>
      </c>
      <c r="E13">
        <v>60000</v>
      </c>
      <c r="F13" t="str">
        <f t="shared" si="0"/>
        <v>January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26"/>
  <sheetViews>
    <sheetView workbookViewId="0">
      <selection activeCell="D33" sqref="D33:K46"/>
    </sheetView>
  </sheetViews>
  <sheetFormatPr defaultRowHeight="14.4" x14ac:dyDescent="0.3"/>
  <cols>
    <col min="1" max="1" width="12.5546875" bestFit="1" customWidth="1"/>
    <col min="2" max="2" width="21.44140625" bestFit="1" customWidth="1"/>
    <col min="3" max="3" width="18.109375" bestFit="1" customWidth="1"/>
    <col min="5" max="5" width="12.5546875" bestFit="1" customWidth="1"/>
    <col min="6" max="6" width="21.44140625" customWidth="1"/>
    <col min="7" max="7" width="16.44140625" customWidth="1"/>
    <col min="9" max="9" width="12.5546875" bestFit="1" customWidth="1"/>
    <col min="10" max="10" width="21.44140625" bestFit="1" customWidth="1"/>
    <col min="11" max="11" width="18.109375" bestFit="1" customWidth="1"/>
    <col min="13" max="13" width="12.5546875" bestFit="1" customWidth="1"/>
    <col min="14" max="14" width="21.44140625" bestFit="1" customWidth="1"/>
    <col min="15" max="15" width="18.109375" bestFit="1" customWidth="1"/>
    <col min="16" max="16" width="16.44140625" bestFit="1" customWidth="1"/>
  </cols>
  <sheetData>
    <row r="3" spans="1:16" x14ac:dyDescent="0.3">
      <c r="A3" s="2" t="s">
        <v>34</v>
      </c>
      <c r="B3" t="s">
        <v>36</v>
      </c>
      <c r="C3" t="s">
        <v>37</v>
      </c>
    </row>
    <row r="4" spans="1:16" x14ac:dyDescent="0.3">
      <c r="A4" s="3" t="s">
        <v>29</v>
      </c>
      <c r="B4" s="4">
        <v>10000</v>
      </c>
      <c r="C4" s="4">
        <v>7000</v>
      </c>
      <c r="E4" s="2" t="s">
        <v>34</v>
      </c>
      <c r="F4" t="s">
        <v>36</v>
      </c>
      <c r="G4" t="s">
        <v>39</v>
      </c>
    </row>
    <row r="5" spans="1:16" x14ac:dyDescent="0.3">
      <c r="A5" s="5" t="s">
        <v>38</v>
      </c>
      <c r="B5" s="4">
        <v>10000</v>
      </c>
      <c r="C5" s="4">
        <v>7000</v>
      </c>
      <c r="E5" s="3" t="s">
        <v>29</v>
      </c>
      <c r="F5" s="4">
        <v>10000</v>
      </c>
      <c r="G5" s="4">
        <v>3000</v>
      </c>
      <c r="I5" s="2" t="s">
        <v>34</v>
      </c>
      <c r="J5" t="s">
        <v>36</v>
      </c>
      <c r="K5" t="s">
        <v>37</v>
      </c>
      <c r="M5" s="2" t="s">
        <v>34</v>
      </c>
      <c r="N5" t="s">
        <v>36</v>
      </c>
      <c r="O5" t="s">
        <v>37</v>
      </c>
      <c r="P5" t="s">
        <v>39</v>
      </c>
    </row>
    <row r="6" spans="1:16" x14ac:dyDescent="0.3">
      <c r="A6" s="3" t="s">
        <v>9</v>
      </c>
      <c r="B6" s="4">
        <v>1000</v>
      </c>
      <c r="C6" s="4">
        <v>500</v>
      </c>
      <c r="E6" s="3" t="s">
        <v>9</v>
      </c>
      <c r="F6" s="4">
        <v>1000</v>
      </c>
      <c r="G6" s="4">
        <v>500</v>
      </c>
      <c r="I6" s="3" t="s">
        <v>29</v>
      </c>
      <c r="J6" s="4">
        <v>10000</v>
      </c>
      <c r="K6" s="4">
        <v>7000</v>
      </c>
      <c r="M6" s="3" t="s">
        <v>29</v>
      </c>
      <c r="N6" s="4">
        <v>10000</v>
      </c>
      <c r="O6" s="4">
        <v>7000</v>
      </c>
      <c r="P6" s="4">
        <v>3000</v>
      </c>
    </row>
    <row r="7" spans="1:16" x14ac:dyDescent="0.3">
      <c r="A7" s="5" t="s">
        <v>38</v>
      </c>
      <c r="B7" s="4">
        <v>1000</v>
      </c>
      <c r="C7" s="4">
        <v>500</v>
      </c>
      <c r="E7" s="3" t="s">
        <v>7</v>
      </c>
      <c r="F7" s="4">
        <v>3000</v>
      </c>
      <c r="G7" s="4">
        <v>1500</v>
      </c>
      <c r="I7" s="3" t="s">
        <v>9</v>
      </c>
      <c r="J7" s="4">
        <v>1000</v>
      </c>
      <c r="K7" s="4">
        <v>500</v>
      </c>
      <c r="M7" s="3" t="s">
        <v>9</v>
      </c>
      <c r="N7" s="4">
        <v>1000</v>
      </c>
      <c r="O7" s="4">
        <v>500</v>
      </c>
      <c r="P7" s="4">
        <v>500</v>
      </c>
    </row>
    <row r="8" spans="1:16" x14ac:dyDescent="0.3">
      <c r="A8" s="3" t="s">
        <v>7</v>
      </c>
      <c r="B8" s="4">
        <v>3000</v>
      </c>
      <c r="C8" s="4">
        <v>1500</v>
      </c>
      <c r="E8" s="3" t="s">
        <v>13</v>
      </c>
      <c r="F8" s="4">
        <v>800</v>
      </c>
      <c r="G8" s="4">
        <v>350</v>
      </c>
      <c r="I8" s="3" t="s">
        <v>7</v>
      </c>
      <c r="J8" s="4">
        <v>3000</v>
      </c>
      <c r="K8" s="4">
        <v>1500</v>
      </c>
      <c r="M8" s="3" t="s">
        <v>7</v>
      </c>
      <c r="N8" s="4">
        <v>3000</v>
      </c>
      <c r="O8" s="4">
        <v>1500</v>
      </c>
      <c r="P8" s="4">
        <v>1500</v>
      </c>
    </row>
    <row r="9" spans="1:16" x14ac:dyDescent="0.3">
      <c r="A9" s="5" t="s">
        <v>38</v>
      </c>
      <c r="B9" s="4">
        <v>3000</v>
      </c>
      <c r="C9" s="4">
        <v>1500</v>
      </c>
      <c r="E9" s="3" t="s">
        <v>30</v>
      </c>
      <c r="F9" s="4">
        <v>1500</v>
      </c>
      <c r="G9" s="4">
        <v>500</v>
      </c>
      <c r="I9" s="3" t="s">
        <v>13</v>
      </c>
      <c r="J9" s="4">
        <v>800</v>
      </c>
      <c r="K9" s="4">
        <v>450</v>
      </c>
      <c r="M9" s="3" t="s">
        <v>13</v>
      </c>
      <c r="N9" s="4">
        <v>800</v>
      </c>
      <c r="O9" s="4">
        <v>450</v>
      </c>
      <c r="P9" s="4">
        <v>350</v>
      </c>
    </row>
    <row r="10" spans="1:16" x14ac:dyDescent="0.3">
      <c r="A10" s="3" t="s">
        <v>13</v>
      </c>
      <c r="B10" s="4">
        <v>800</v>
      </c>
      <c r="C10" s="4">
        <v>450</v>
      </c>
      <c r="E10" s="3" t="s">
        <v>6</v>
      </c>
      <c r="F10" s="4">
        <v>5000</v>
      </c>
      <c r="G10" s="4">
        <v>1500</v>
      </c>
      <c r="I10" s="3" t="s">
        <v>30</v>
      </c>
      <c r="J10" s="4">
        <v>1500</v>
      </c>
      <c r="K10" s="4">
        <v>1000</v>
      </c>
      <c r="M10" s="3" t="s">
        <v>30</v>
      </c>
      <c r="N10" s="4">
        <v>1500</v>
      </c>
      <c r="O10" s="4">
        <v>1000</v>
      </c>
      <c r="P10" s="4">
        <v>500</v>
      </c>
    </row>
    <row r="11" spans="1:16" x14ac:dyDescent="0.3">
      <c r="A11" s="5" t="s">
        <v>38</v>
      </c>
      <c r="B11" s="4">
        <v>800</v>
      </c>
      <c r="C11" s="4">
        <v>450</v>
      </c>
      <c r="E11" s="3" t="s">
        <v>14</v>
      </c>
      <c r="F11" s="4">
        <v>20000</v>
      </c>
      <c r="G11" s="4">
        <v>3000</v>
      </c>
      <c r="I11" s="3" t="s">
        <v>6</v>
      </c>
      <c r="J11" s="4">
        <v>5000</v>
      </c>
      <c r="K11" s="4">
        <v>3500</v>
      </c>
      <c r="M11" s="3" t="s">
        <v>6</v>
      </c>
      <c r="N11" s="4">
        <v>5000</v>
      </c>
      <c r="O11" s="4">
        <v>3500</v>
      </c>
      <c r="P11" s="4">
        <v>1500</v>
      </c>
    </row>
    <row r="12" spans="1:16" x14ac:dyDescent="0.3">
      <c r="A12" s="3" t="s">
        <v>30</v>
      </c>
      <c r="B12" s="4">
        <v>1500</v>
      </c>
      <c r="C12" s="4">
        <v>1000</v>
      </c>
      <c r="E12" s="3" t="s">
        <v>10</v>
      </c>
      <c r="F12" s="4">
        <v>500</v>
      </c>
      <c r="G12" s="4">
        <v>100</v>
      </c>
      <c r="I12" s="3" t="s">
        <v>14</v>
      </c>
      <c r="J12" s="4">
        <v>20000</v>
      </c>
      <c r="K12" s="4">
        <v>17000</v>
      </c>
      <c r="M12" s="3" t="s">
        <v>14</v>
      </c>
      <c r="N12" s="4">
        <v>20000</v>
      </c>
      <c r="O12" s="4">
        <v>17000</v>
      </c>
      <c r="P12" s="4">
        <v>3000</v>
      </c>
    </row>
    <row r="13" spans="1:16" x14ac:dyDescent="0.3">
      <c r="A13" s="5" t="s">
        <v>38</v>
      </c>
      <c r="B13" s="4">
        <v>1500</v>
      </c>
      <c r="C13" s="4">
        <v>1000</v>
      </c>
      <c r="E13" s="3" t="s">
        <v>11</v>
      </c>
      <c r="F13" s="4">
        <v>2000</v>
      </c>
      <c r="G13" s="4">
        <v>500</v>
      </c>
      <c r="I13" s="3" t="s">
        <v>10</v>
      </c>
      <c r="J13" s="4">
        <v>500</v>
      </c>
      <c r="K13" s="4">
        <v>400</v>
      </c>
      <c r="M13" s="3" t="s">
        <v>10</v>
      </c>
      <c r="N13" s="4">
        <v>500</v>
      </c>
      <c r="O13" s="4">
        <v>400</v>
      </c>
      <c r="P13" s="4">
        <v>100</v>
      </c>
    </row>
    <row r="14" spans="1:16" x14ac:dyDescent="0.3">
      <c r="A14" s="3" t="s">
        <v>6</v>
      </c>
      <c r="B14" s="4">
        <v>5000</v>
      </c>
      <c r="C14" s="4">
        <v>3500</v>
      </c>
      <c r="E14" s="3" t="s">
        <v>8</v>
      </c>
      <c r="F14" s="4">
        <v>1000</v>
      </c>
      <c r="G14" s="4">
        <v>500</v>
      </c>
      <c r="I14" s="3" t="s">
        <v>11</v>
      </c>
      <c r="J14" s="4">
        <v>2000</v>
      </c>
      <c r="K14" s="4">
        <v>1500</v>
      </c>
      <c r="M14" s="3" t="s">
        <v>11</v>
      </c>
      <c r="N14" s="4">
        <v>2000</v>
      </c>
      <c r="O14" s="4">
        <v>1500</v>
      </c>
      <c r="P14" s="4">
        <v>500</v>
      </c>
    </row>
    <row r="15" spans="1:16" x14ac:dyDescent="0.3">
      <c r="A15" s="5" t="s">
        <v>38</v>
      </c>
      <c r="B15" s="4">
        <v>5000</v>
      </c>
      <c r="C15" s="4">
        <v>3500</v>
      </c>
      <c r="E15" s="3" t="s">
        <v>12</v>
      </c>
      <c r="F15" s="4">
        <v>800</v>
      </c>
      <c r="G15" s="4">
        <v>400</v>
      </c>
      <c r="I15" s="3" t="s">
        <v>8</v>
      </c>
      <c r="J15" s="4">
        <v>1000</v>
      </c>
      <c r="K15" s="4">
        <v>500</v>
      </c>
      <c r="M15" s="3" t="s">
        <v>8</v>
      </c>
      <c r="N15" s="4">
        <v>1000</v>
      </c>
      <c r="O15" s="4">
        <v>500</v>
      </c>
      <c r="P15" s="4">
        <v>500</v>
      </c>
    </row>
    <row r="16" spans="1:16" x14ac:dyDescent="0.3">
      <c r="A16" s="3" t="s">
        <v>14</v>
      </c>
      <c r="B16" s="4">
        <v>20000</v>
      </c>
      <c r="C16" s="4">
        <v>17000</v>
      </c>
      <c r="E16" s="3" t="s">
        <v>35</v>
      </c>
      <c r="F16" s="4">
        <v>45600</v>
      </c>
      <c r="G16" s="4">
        <v>11850</v>
      </c>
      <c r="I16" s="3" t="s">
        <v>12</v>
      </c>
      <c r="J16" s="4">
        <v>800</v>
      </c>
      <c r="K16" s="4">
        <v>400</v>
      </c>
      <c r="M16" s="3" t="s">
        <v>12</v>
      </c>
      <c r="N16" s="4">
        <v>800</v>
      </c>
      <c r="O16" s="4">
        <v>400</v>
      </c>
      <c r="P16" s="4">
        <v>400</v>
      </c>
    </row>
    <row r="17" spans="1:16" x14ac:dyDescent="0.3">
      <c r="A17" s="5" t="s">
        <v>38</v>
      </c>
      <c r="B17" s="4">
        <v>20000</v>
      </c>
      <c r="C17" s="4">
        <v>17000</v>
      </c>
      <c r="I17" s="3" t="s">
        <v>35</v>
      </c>
      <c r="J17" s="4">
        <v>45600</v>
      </c>
      <c r="K17" s="4">
        <v>33750</v>
      </c>
      <c r="M17" s="3" t="s">
        <v>35</v>
      </c>
      <c r="N17" s="4">
        <v>45600</v>
      </c>
      <c r="O17" s="4">
        <v>33750</v>
      </c>
      <c r="P17" s="4">
        <v>11850</v>
      </c>
    </row>
    <row r="18" spans="1:16" x14ac:dyDescent="0.3">
      <c r="A18" s="3" t="s">
        <v>10</v>
      </c>
      <c r="B18" s="4">
        <v>500</v>
      </c>
      <c r="C18" s="4">
        <v>400</v>
      </c>
    </row>
    <row r="19" spans="1:16" x14ac:dyDescent="0.3">
      <c r="A19" s="5" t="s">
        <v>38</v>
      </c>
      <c r="B19" s="4">
        <v>500</v>
      </c>
      <c r="C19" s="4">
        <v>400</v>
      </c>
    </row>
    <row r="20" spans="1:16" x14ac:dyDescent="0.3">
      <c r="A20" s="3" t="s">
        <v>11</v>
      </c>
      <c r="B20" s="4">
        <v>2000</v>
      </c>
      <c r="C20" s="4">
        <v>1500</v>
      </c>
    </row>
    <row r="21" spans="1:16" x14ac:dyDescent="0.3">
      <c r="A21" s="5" t="s">
        <v>38</v>
      </c>
      <c r="B21" s="4">
        <v>2000</v>
      </c>
      <c r="C21" s="4">
        <v>1500</v>
      </c>
    </row>
    <row r="22" spans="1:16" x14ac:dyDescent="0.3">
      <c r="A22" s="3" t="s">
        <v>8</v>
      </c>
      <c r="B22" s="4">
        <v>1000</v>
      </c>
      <c r="C22" s="4">
        <v>500</v>
      </c>
    </row>
    <row r="23" spans="1:16" x14ac:dyDescent="0.3">
      <c r="A23" s="5" t="s">
        <v>38</v>
      </c>
      <c r="B23" s="4">
        <v>1000</v>
      </c>
      <c r="C23" s="4">
        <v>500</v>
      </c>
    </row>
    <row r="24" spans="1:16" x14ac:dyDescent="0.3">
      <c r="A24" s="3" t="s">
        <v>12</v>
      </c>
      <c r="B24" s="4">
        <v>800</v>
      </c>
      <c r="C24" s="4">
        <v>400</v>
      </c>
    </row>
    <row r="25" spans="1:16" x14ac:dyDescent="0.3">
      <c r="A25" s="5" t="s">
        <v>38</v>
      </c>
      <c r="B25" s="4">
        <v>800</v>
      </c>
      <c r="C25" s="4">
        <v>400</v>
      </c>
    </row>
    <row r="26" spans="1:16" x14ac:dyDescent="0.3">
      <c r="A26" s="3" t="s">
        <v>35</v>
      </c>
      <c r="B26" s="4">
        <v>45600</v>
      </c>
      <c r="C26" s="4">
        <v>33750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sqref="A1:F13"/>
    </sheetView>
  </sheetViews>
  <sheetFormatPr defaultRowHeight="14.4" x14ac:dyDescent="0.3"/>
  <cols>
    <col min="1" max="1" width="9.88671875" bestFit="1" customWidth="1"/>
    <col min="2" max="2" width="14.5546875" customWidth="1"/>
    <col min="3" max="3" width="11" bestFit="1" customWidth="1"/>
    <col min="4" max="4" width="10.44140625" customWidth="1"/>
    <col min="6" max="6" width="10.33203125" bestFit="1" customWidth="1"/>
  </cols>
  <sheetData>
    <row r="1" spans="1:6" x14ac:dyDescent="0.3">
      <c r="A1" t="s">
        <v>1</v>
      </c>
      <c r="B1" t="s">
        <v>31</v>
      </c>
      <c r="C1" t="s">
        <v>32</v>
      </c>
      <c r="D1" t="s">
        <v>33</v>
      </c>
      <c r="E1" t="s">
        <v>5</v>
      </c>
      <c r="F1" t="s">
        <v>0</v>
      </c>
    </row>
    <row r="2" spans="1:6" x14ac:dyDescent="0.3">
      <c r="A2" t="s">
        <v>6</v>
      </c>
      <c r="B2">
        <v>5000</v>
      </c>
      <c r="C2">
        <v>3500</v>
      </c>
      <c r="D2">
        <f>B2-C2</f>
        <v>1500</v>
      </c>
      <c r="E2" t="str">
        <f>TEXT(F2,"mmmm")</f>
        <v>January</v>
      </c>
      <c r="F2" s="1">
        <v>45658</v>
      </c>
    </row>
    <row r="3" spans="1:6" x14ac:dyDescent="0.3">
      <c r="A3" t="s">
        <v>7</v>
      </c>
      <c r="B3">
        <v>3000</v>
      </c>
      <c r="C3">
        <v>1500</v>
      </c>
      <c r="D3">
        <f t="shared" ref="D3:D13" si="0">B3-C3</f>
        <v>1500</v>
      </c>
      <c r="E3" t="str">
        <f t="shared" ref="E3:E13" si="1">TEXT(F3,"mmmm")</f>
        <v>January</v>
      </c>
      <c r="F3" s="1">
        <v>45659</v>
      </c>
    </row>
    <row r="4" spans="1:6" x14ac:dyDescent="0.3">
      <c r="A4" t="s">
        <v>8</v>
      </c>
      <c r="B4">
        <v>1000</v>
      </c>
      <c r="C4">
        <v>500</v>
      </c>
      <c r="D4">
        <f t="shared" si="0"/>
        <v>500</v>
      </c>
      <c r="E4" t="str">
        <f t="shared" si="1"/>
        <v>January</v>
      </c>
      <c r="F4" s="1">
        <v>45660</v>
      </c>
    </row>
    <row r="5" spans="1:6" x14ac:dyDescent="0.3">
      <c r="A5" t="s">
        <v>9</v>
      </c>
      <c r="B5">
        <v>1000</v>
      </c>
      <c r="C5">
        <v>500</v>
      </c>
      <c r="D5">
        <f t="shared" si="0"/>
        <v>500</v>
      </c>
      <c r="E5" t="str">
        <f t="shared" si="1"/>
        <v>January</v>
      </c>
      <c r="F5" s="1">
        <v>45661</v>
      </c>
    </row>
    <row r="6" spans="1:6" x14ac:dyDescent="0.3">
      <c r="A6" t="s">
        <v>10</v>
      </c>
      <c r="B6">
        <v>200</v>
      </c>
      <c r="C6">
        <v>150</v>
      </c>
      <c r="D6">
        <f t="shared" si="0"/>
        <v>50</v>
      </c>
      <c r="E6" t="str">
        <f t="shared" si="1"/>
        <v>January</v>
      </c>
      <c r="F6" s="1">
        <v>45662</v>
      </c>
    </row>
    <row r="7" spans="1:6" x14ac:dyDescent="0.3">
      <c r="A7" t="s">
        <v>10</v>
      </c>
      <c r="B7">
        <v>300</v>
      </c>
      <c r="C7">
        <v>250</v>
      </c>
      <c r="D7">
        <f t="shared" si="0"/>
        <v>50</v>
      </c>
      <c r="E7" t="str">
        <f t="shared" si="1"/>
        <v>January</v>
      </c>
      <c r="F7" s="1">
        <v>45663</v>
      </c>
    </row>
    <row r="8" spans="1:6" x14ac:dyDescent="0.3">
      <c r="A8" t="s">
        <v>11</v>
      </c>
      <c r="B8">
        <v>2000</v>
      </c>
      <c r="C8">
        <v>1500</v>
      </c>
      <c r="D8">
        <f t="shared" si="0"/>
        <v>500</v>
      </c>
      <c r="E8" t="str">
        <f t="shared" si="1"/>
        <v>January</v>
      </c>
      <c r="F8" s="1">
        <v>45664</v>
      </c>
    </row>
    <row r="9" spans="1:6" x14ac:dyDescent="0.3">
      <c r="A9" t="s">
        <v>29</v>
      </c>
      <c r="B9">
        <v>10000</v>
      </c>
      <c r="C9">
        <v>7000</v>
      </c>
      <c r="D9">
        <f t="shared" si="0"/>
        <v>3000</v>
      </c>
      <c r="E9" t="str">
        <f t="shared" si="1"/>
        <v>January</v>
      </c>
      <c r="F9" s="1">
        <v>45665</v>
      </c>
    </row>
    <row r="10" spans="1:6" x14ac:dyDescent="0.3">
      <c r="A10" t="s">
        <v>12</v>
      </c>
      <c r="B10">
        <v>800</v>
      </c>
      <c r="C10">
        <v>400</v>
      </c>
      <c r="D10">
        <f t="shared" si="0"/>
        <v>400</v>
      </c>
      <c r="E10" t="str">
        <f t="shared" si="1"/>
        <v>January</v>
      </c>
      <c r="F10" s="1">
        <v>45666</v>
      </c>
    </row>
    <row r="11" spans="1:6" x14ac:dyDescent="0.3">
      <c r="A11" t="s">
        <v>30</v>
      </c>
      <c r="B11">
        <v>1500</v>
      </c>
      <c r="C11">
        <v>1000</v>
      </c>
      <c r="D11">
        <f t="shared" si="0"/>
        <v>500</v>
      </c>
      <c r="E11" t="str">
        <f t="shared" si="1"/>
        <v>January</v>
      </c>
      <c r="F11" s="1">
        <v>45667</v>
      </c>
    </row>
    <row r="12" spans="1:6" x14ac:dyDescent="0.3">
      <c r="A12" t="s">
        <v>13</v>
      </c>
      <c r="B12">
        <v>800</v>
      </c>
      <c r="C12">
        <v>450</v>
      </c>
      <c r="D12">
        <f t="shared" si="0"/>
        <v>350</v>
      </c>
      <c r="E12" t="str">
        <f t="shared" si="1"/>
        <v>January</v>
      </c>
      <c r="F12" s="1">
        <v>45668</v>
      </c>
    </row>
    <row r="13" spans="1:6" x14ac:dyDescent="0.3">
      <c r="A13" t="s">
        <v>14</v>
      </c>
      <c r="B13">
        <v>20000</v>
      </c>
      <c r="C13">
        <v>17000</v>
      </c>
      <c r="D13">
        <f t="shared" si="0"/>
        <v>3000</v>
      </c>
      <c r="E13" t="str">
        <f t="shared" si="1"/>
        <v>January</v>
      </c>
      <c r="F13" s="1">
        <v>45669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Transcation</vt:lpstr>
      <vt:lpstr>Sheet5</vt:lpstr>
      <vt:lpstr>Budget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KHYATHI SRI  CHEPURI</dc:creator>
  <cp:lastModifiedBy>KHYATHI SRI  CHEPURI</cp:lastModifiedBy>
  <dcterms:created xsi:type="dcterms:W3CDTF">2026-01-21T04:34:05Z</dcterms:created>
  <dcterms:modified xsi:type="dcterms:W3CDTF">2026-01-21T06:12:18Z</dcterms:modified>
</cp:coreProperties>
</file>